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32d43c032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age" sheetId="1" r:id="R4304f672b45d4a0b"/>
    <x:sheet xmlns:r="http://schemas.openxmlformats.org/officeDocument/2006/relationships" name="Planning" sheetId="2" r:id="Rf4898173b7894517"/>
    <x:sheet xmlns:r="http://schemas.openxmlformats.org/officeDocument/2006/relationships" name="Risques" sheetId="3" r:id="Rd90249566a5840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 &quot;€&quot;;(#,##0) &quot;€&quot;;&quot;-&quot;"/>
    <x:numFmt numFmtId="202" formatCode="0%"/>
    <x:numFmt numFmtId="203" formatCode="#,##0;(#,##0);&quot;-&quot;"/>
  </x:numFmts>
  <x:fonts count="7">
    <x:font>
      <x:sz val="11"/>
      <x:name val="Carlito"/>
    </x:font>
    <x:font>
      <x:sz val="11"/>
      <x:color rgb="FF18312D"/>
      <x:name val="Arial"/>
    </x:font>
    <x:font>
      <x:b/>
      <x:sz val="17"/>
      <x:color rgb="FF18312D"/>
      <x:name val="Arial"/>
    </x:font>
    <x:font>
      <x:sz val="11"/>
      <x:color rgb="FF8B4B08"/>
      <x:name val="Arial"/>
    </x:font>
    <x:font>
      <x:b/>
      <x:sz val="11"/>
      <x:color rgb="FFFFFFFF"/>
      <x:name val="Arial"/>
    </x:font>
    <x:font>
      <x:b/>
      <x:sz val="11"/>
      <x:color rgb="FF18312D"/>
      <x:name val="Arial"/>
    </x:font>
    <x:font>
      <x:sz val="11"/>
      <x:color rgb="FF1458B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6B58"/>
      </x:patternFill>
    </x:fill>
    <x:fill>
      <x:patternFill patternType="solid">
        <x:fgColor rgb="FFEFF4F0"/>
      </x:patternFill>
    </x:fill>
    <x:fill>
      <x:patternFill patternType="solid">
        <x:fgColor rgb="FFFFF7DD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8B4B08"/>
      </x:font>
      <x:fill>
        <x:patternFill patternType="solid">
          <x:bgColor rgb="FFFDE5CD"/>
        </x:patternFill>
      </x:fill>
    </x:dxf>
    <x:dxf>
      <x:font>
        <x:b/>
        <x:color rgb="FFA32121"/>
      </x:font>
      <x:fill>
        <x:patternFill patternType="solid">
          <x:bgColor rgb="FFFCE2E2"/>
        </x:patternFill>
      </x:fill>
    </x:dxf>
    <x:dxf>
      <x:fill>
        <x:patternFill patternType="solid">
          <x:bgColor rgb="FFFDE5CD"/>
        </x:patternFill>
      </x:fill>
    </x:dxf>
    <x:dxf>
      <x:fill>
        <x:patternFill patternType="solid">
          <x:bgColor rgb="FFFDE5CD"/>
        </x:patternFill>
      </x:fill>
    </x:dxf>
    <x:dxf>
      <x:font>
        <x:b/>
        <x:color rgb="FF8B4B08"/>
      </x:font>
      <x:fill>
        <x:patternFill patternType="solid">
          <x:bgColor rgb="FFFD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51cb8492c4690" /><Relationship Type="http://schemas.openxmlformats.org/officeDocument/2006/relationships/theme" Target="/xl/theme/theme1.xml" Id="R1401109b793e492e" /><Relationship Type="http://schemas.openxmlformats.org/officeDocument/2006/relationships/sharedStrings" Target="/xl/sharedStrings.xml" Id="Rd88808d78ea14a9f" /><Relationship Type="http://schemas.openxmlformats.org/officeDocument/2006/relationships/worksheet" Target="/xl/worksheets/sheet1.xml" Id="R4304f672b45d4a0b" /><Relationship Type="http://schemas.openxmlformats.org/officeDocument/2006/relationships/worksheet" Target="/xl/worksheets/sheet2.xml" Id="Rf4898173b7894517" /><Relationship Type="http://schemas.openxmlformats.org/officeDocument/2006/relationships/worksheet" Target="/xl/worksheets/sheet3.xml" Id="Rd90249566a5840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6B58"/>
  </x:sheetPr>
  <x:sheetViews>
    <x:sheetView showGridLines="0" workbookViewId="0"/>
  </x:sheetViews>
  <x:sheetFormatPr defaultRowHeight="15"/>
  <x:cols>
    <x:col min="2" max="2" width="3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2" ht="34" customHeight="1">
      <x:c r="B2" s="3" t="str">
        <x:v>Spity - Tableau de pilotage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B4" s="4" t="str">
        <x:v>SIMULATION PÉDAGOGIQUE - état à J10, horizon de 15 jours ouvrés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B5" s="4" t="str">
        <x:v>Les jours, charges, taux et réunions du cas ne sont pas des observations historiques.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5" customHeight="1"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6" customHeight="1">
      <x:c r="B7" s="7" t="str">
        <x:v>Indicateur</x:v>
      </x:c>
      <x:c r="C7" s="7" t="str">
        <x:v>Valeur</x:v>
      </x:c>
      <x:c r="D7" s="2"/>
      <x:c r="E7" s="2" t="str">
        <x:v>Hypothèses</x:v>
      </x:c>
      <x:c r="F7" s="2"/>
      <x:c r="G7" s="2"/>
      <x:c r="H7" s="2"/>
      <x:c r="I7" s="2"/>
      <x:c r="J7" s="2"/>
      <x:c r="K7" s="2"/>
      <x:c r="L7" s="2"/>
    </x:row>
    <x:row r="8" ht="25" customHeight="1">
      <x:c r="B8" s="2" t="str">
        <x:v>Charge prévue (h)</x:v>
      </x:c>
      <x:c r="C8" s="2" t="n">
        <x:f>SUM('Planning'!H9:H18)</x:f>
        <x:v>112</x:v>
      </x:c>
      <x:c r="D8" s="2"/>
      <x:c r="E8" s="2" t="str">
        <x:v>Réserve</x:v>
      </x:c>
      <x:c r="F8" s="16" t="n">
        <x:v>0.1</x:v>
      </x:c>
      <x:c r="G8" s="2"/>
      <x:c r="H8" s="2"/>
      <x:c r="I8" s="2"/>
      <x:c r="J8" s="2"/>
      <x:c r="K8" s="2"/>
      <x:c r="L8" s="2"/>
    </x:row>
    <x:row r="9" ht="25" customHeight="1">
      <x:c r="B9" s="2" t="str">
        <x:v>Charge consommée (h)</x:v>
      </x:c>
      <x:c r="C9" s="2" t="n">
        <x:f>SUM('Planning'!I9:I18)</x:f>
        <x:v>77</x:v>
      </x:c>
      <x:c r="D9" s="2"/>
      <x:c r="E9" s="2" t="str">
        <x:v>Alerte charge</x:v>
      </x:c>
      <x:c r="F9" s="16" t="n">
        <x:v>0.9</x:v>
      </x:c>
      <x:c r="G9" s="2"/>
      <x:c r="H9" s="2"/>
      <x:c r="I9" s="2"/>
      <x:c r="J9" s="2"/>
      <x:c r="K9" s="2"/>
      <x:c r="L9" s="2"/>
    </x:row>
    <x:row r="10" ht="25" customHeight="1">
      <x:c r="B10" s="2" t="str">
        <x:v>Reste à faire (h)</x:v>
      </x:c>
      <x:c r="C10" s="2" t="n">
        <x:f>SUM('Planning'!J9:J18)</x:f>
        <x:v>40</x:v>
      </x:c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5" customHeight="1">
      <x:c r="B11" s="2" t="str">
        <x:v>Prévision finale (h)</x:v>
      </x:c>
      <x:c r="C11" s="2" t="n">
        <x:f>SUM('Planning'!K9:K18)</x:f>
        <x:v>117</x:v>
      </x:c>
      <x:c r="D11" s="2"/>
      <x:c r="E11" s="2" t="str">
        <x:v>Entrées bleues sur fond ambre : modifiables</x:v>
      </x:c>
      <x:c r="F11" s="2"/>
      <x:c r="G11" s="2"/>
      <x:c r="H11" s="2"/>
      <x:c r="I11" s="2"/>
      <x:c r="J11" s="2"/>
      <x:c r="K11" s="2"/>
      <x:c r="L11" s="2"/>
    </x:row>
    <x:row r="12" ht="25" customHeight="1">
      <x:c r="B12" s="2" t="str">
        <x:v>Tâches terminées</x:v>
      </x:c>
      <x:c r="C12" s="8" t="n">
        <x:f>COUNTIFS('Planning'!G9:G18,"Terminé")/COUNTA('Planning'!A9:A18)</x:f>
        <x:v>0.5</x:v>
      </x:c>
      <x:c r="D12" s="2"/>
      <x:c r="E12" s="2" t="str">
        <x:v>Les formules recalculent charges, coûts et écarts.</x:v>
      </x:c>
      <x:c r="F12" s="2"/>
      <x:c r="G12" s="2"/>
      <x:c r="H12" s="2"/>
      <x:c r="I12" s="2"/>
      <x:c r="J12" s="2"/>
      <x:c r="K12" s="2"/>
      <x:c r="L12" s="2"/>
    </x:row>
    <x:row r="13" ht="25" customHeight="1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5" customHeight="1">
      <x:c r="B14" s="2" t="str">
        <x:v>Budget initial (EUR)</x:v>
      </x:c>
      <x:c r="C14" s="9" t="n">
        <x:f>SUM(I23:I25)+SUM(F30:F31)</x:f>
        <x:v>4270</x:v>
      </x:c>
      <x:c r="D14" s="2"/>
      <x:c r="E14" s="2" t="str">
        <x:v>EUR : valorisation économique du travail, hors taxes.</x:v>
      </x:c>
      <x:c r="F14" s="2"/>
      <x:c r="G14" s="2"/>
      <x:c r="H14" s="2"/>
      <x:c r="I14" s="2"/>
      <x:c r="J14" s="2"/>
      <x:c r="K14" s="2"/>
      <x:c r="L14" s="2"/>
    </x:row>
    <x:row r="15" ht="25" customHeight="1">
      <x:c r="B15" s="2" t="str">
        <x:v>Consommé (EUR)</x:v>
      </x:c>
      <x:c r="C15" s="9" t="n">
        <x:f>SUM(J23:J25)+SUM(G30:G31)</x:f>
        <x:v>2945</x:v>
      </x:c>
      <x:c r="D15" s="2"/>
      <x:c r="E15" s="2" t="str">
        <x:v>Les capacités portent sur tout le lot de 15 jours.</x:v>
      </x:c>
      <x:c r="F15" s="2"/>
      <x:c r="G15" s="2"/>
      <x:c r="H15" s="2"/>
      <x:c r="I15" s="2"/>
      <x:c r="J15" s="2"/>
      <x:c r="K15" s="2"/>
      <x:c r="L15" s="2"/>
    </x:row>
    <x:row r="16" ht="25" customHeight="1">
      <x:c r="B16" s="10" t="str">
        <x:v>Prévision finale (EUR)</x:v>
      </x:c>
      <x:c r="C16" s="11" t="n">
        <x:f>SUM(K23:K25)+IF(COUNT(H30:H31)=2,SUM(H30:H31),NA())</x:f>
        <x:v>4465</x:v>
      </x:c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5" customHeight="1">
      <x:c r="B17" s="2" t="str">
        <x:v>Dépassement (EUR)</x:v>
      </x:c>
      <x:c r="C17" s="9" t="n">
        <x:f>C16-C14</x:f>
        <x:v>195</x:v>
      </x:c>
      <x:c r="D17" s="2"/>
      <x:c r="E17" s="2" t="str">
        <x:v>Source du cas : données pédagogiques, A01 à A04.</x:v>
      </x:c>
      <x:c r="F17" s="2"/>
      <x:c r="G17" s="2"/>
      <x:c r="H17" s="2"/>
      <x:c r="I17" s="2"/>
      <x:c r="J17" s="2"/>
      <x:c r="K17" s="2"/>
      <x:c r="L17" s="2"/>
    </x:row>
    <x:row r="18" ht="25" customHeight="1">
      <x:c r="B18" s="2" t="str">
        <x:v>Plafond avec réserve (EUR)</x:v>
      </x:c>
      <x:c r="C18" s="9" t="n">
        <x:f>C14*(1+F8)</x:f>
        <x:v>4697</x:v>
      </x:c>
      <x:c r="D18" s="2"/>
      <x:c r="E18" s="2" t="str">
        <x:v>Archive Linear du 09/09/2026 : 12 Done / 24 actifs.</x:v>
      </x:c>
      <x:c r="F18" s="2"/>
      <x:c r="G18" s="2"/>
      <x:c r="H18" s="2"/>
      <x:c r="I18" s="2"/>
      <x:c r="J18" s="2"/>
      <x:c r="K18" s="2"/>
      <x:c r="L18" s="2"/>
    </x:row>
    <x:row r="19" ht="25" customHeight="1">
      <x:c r="B19" s="12" t="str">
        <x:v>Marge restante (EUR)</x:v>
      </x:c>
      <x:c r="C19" s="13" t="n">
        <x:f>C18-C16</x:f>
        <x:v>232</x:v>
      </x:c>
      <x:c r="D19" s="2"/>
      <x:c r="E19" s="2" t="str">
        <x:v>Cette archive est distincte des 10 tâches simulées.</x:v>
      </x:c>
      <x:c r="F19" s="2"/>
      <x:c r="G19" s="2"/>
      <x:c r="H19" s="2"/>
      <x:c r="I19" s="2"/>
      <x:c r="J19" s="2"/>
      <x:c r="K19" s="2"/>
      <x:c r="L19" s="2"/>
    </x:row>
    <x:row r="20" ht="25" customHeight="1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5" customHeight="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36" customHeight="1">
      <x:c r="B22" s="7" t="str">
        <x:v>Rôle</x:v>
      </x:c>
      <x:c r="C22" s="7" t="str">
        <x:v>Capacité h</x:v>
      </x:c>
      <x:c r="D22" s="7" t="str">
        <x:v>EUR / h</x:v>
      </x:c>
      <x:c r="E22" s="7" t="str">
        <x:v>Prévu h</x:v>
      </x:c>
      <x:c r="F22" s="7" t="str">
        <x:v>Consommé h</x:v>
      </x:c>
      <x:c r="G22" s="7" t="str">
        <x:v>Restant h</x:v>
      </x:c>
      <x:c r="H22" s="7" t="str">
        <x:v>Prévision h</x:v>
      </x:c>
      <x:c r="I22" s="7" t="str">
        <x:v>Budget EUR</x:v>
      </x:c>
      <x:c r="J22" s="7" t="str">
        <x:v>Consommé EUR</x:v>
      </x:c>
      <x:c r="K22" s="7" t="str">
        <x:v>Prévision EUR</x:v>
      </x:c>
      <x:c r="L22" s="7" t="str">
        <x:v>Occupation</x:v>
      </x:c>
    </x:row>
    <x:row r="23" ht="25" customHeight="1">
      <x:c r="B23" s="2" t="str">
        <x:v>CP</x:v>
      </x:c>
      <x:c r="C23" s="18" t="n">
        <x:v>30</x:v>
      </x:c>
      <x:c r="D23" s="18" t="n">
        <x:v>45</x:v>
      </x:c>
      <x:c r="E23" s="2" t="n">
        <x:f>SUMIFS('Planning'!$H$9:$H$18,'Planning'!$C$9:$C$18,B23)</x:f>
        <x:v>28</x:v>
      </x:c>
      <x:c r="F23" s="2" t="n">
        <x:f>SUMIFS('Planning'!$I$9:$I$18,'Planning'!$C$9:$C$18,B23)</x:f>
        <x:v>19</x:v>
      </x:c>
      <x:c r="G23" s="2" t="n">
        <x:f>SUMIFS('Planning'!$J$9:$J$18,'Planning'!$C$9:$C$18,B23)</x:f>
        <x:v>10</x:v>
      </x:c>
      <x:c r="H23" s="2" t="n">
        <x:f>SUMIFS('Planning'!$K$9:$K$18,'Planning'!$C$9:$C$18,B23)</x:f>
        <x:v>29</x:v>
      </x:c>
      <x:c r="I23" s="19" t="n">
        <x:f>IF(ISNUMBER(D23),E23*D23,NA())</x:f>
        <x:v>1260</x:v>
      </x:c>
      <x:c r="J23" s="19" t="n">
        <x:f>IF(ISNUMBER(D23),F23*D23,NA())</x:f>
        <x:v>855</x:v>
      </x:c>
      <x:c r="K23" s="19" t="n">
        <x:f>IF(ISNUMBER(D23),H23*D23,NA())</x:f>
        <x:v>1305</x:v>
      </x:c>
      <x:c r="L23" s="8" t="n">
        <x:f>IF(ISNUMBER(C23),IF(C23=0,"n.a.",H23/C23),"À renseigner")</x:f>
        <x:v>0.9666666666666667</x:v>
      </x:c>
    </x:row>
    <x:row r="24" ht="25" customHeight="1">
      <x:c r="B24" s="2" t="str">
        <x:v>DEV</x:v>
      </x:c>
      <x:c r="C24" s="18" t="n">
        <x:v>72</x:v>
      </x:c>
      <x:c r="D24" s="18" t="n">
        <x:v>35</x:v>
      </x:c>
      <x:c r="E24" s="2" t="n">
        <x:f>SUMIFS('Planning'!$H$9:$H$18,'Planning'!$C$9:$C$18,B24)</x:f>
        <x:v>62</x:v>
      </x:c>
      <x:c r="F24" s="2" t="n">
        <x:f>SUMIFS('Planning'!$I$9:$I$18,'Planning'!$C$9:$C$18,B24)</x:f>
        <x:v>46</x:v>
      </x:c>
      <x:c r="G24" s="2" t="n">
        <x:f>SUMIFS('Planning'!$J$9:$J$18,'Planning'!$C$9:$C$18,B24)</x:f>
        <x:v>18</x:v>
      </x:c>
      <x:c r="H24" s="2" t="n">
        <x:f>SUMIFS('Planning'!$K$9:$K$18,'Planning'!$C$9:$C$18,B24)</x:f>
        <x:v>64</x:v>
      </x:c>
      <x:c r="I24" s="19" t="n">
        <x:f>IF(ISNUMBER(D24),E24*D24,NA())</x:f>
        <x:v>2170</x:v>
      </x:c>
      <x:c r="J24" s="19" t="n">
        <x:f>IF(ISNUMBER(D24),F24*D24,NA())</x:f>
        <x:v>1610</x:v>
      </x:c>
      <x:c r="K24" s="19" t="n">
        <x:f>IF(ISNUMBER(D24),H24*D24,NA())</x:f>
        <x:v>2240</x:v>
      </x:c>
      <x:c r="L24" s="8" t="n">
        <x:f>IF(ISNUMBER(C24),IF(C24=0,"n.a.",H24/C24),"À renseigner")</x:f>
        <x:v>0.8888888888888888</x:v>
      </x:c>
    </x:row>
    <x:row r="25" ht="25" customHeight="1">
      <x:c r="B25" s="2" t="str">
        <x:v>QA</x:v>
      </x:c>
      <x:c r="C25" s="18" t="n">
        <x:v>30</x:v>
      </x:c>
      <x:c r="D25" s="18" t="n">
        <x:v>30</x:v>
      </x:c>
      <x:c r="E25" s="2" t="n">
        <x:f>SUMIFS('Planning'!$H$9:$H$18,'Planning'!$C$9:$C$18,B25)</x:f>
        <x:v>22</x:v>
      </x:c>
      <x:c r="F25" s="2" t="n">
        <x:f>SUMIFS('Planning'!$I$9:$I$18,'Planning'!$C$9:$C$18,B25)</x:f>
        <x:v>12</x:v>
      </x:c>
      <x:c r="G25" s="2" t="n">
        <x:f>SUMIFS('Planning'!$J$9:$J$18,'Planning'!$C$9:$C$18,B25)</x:f>
        <x:v>12</x:v>
      </x:c>
      <x:c r="H25" s="2" t="n">
        <x:f>SUMIFS('Planning'!$K$9:$K$18,'Planning'!$C$9:$C$18,B25)</x:f>
        <x:v>24</x:v>
      </x:c>
      <x:c r="I25" s="19" t="n">
        <x:f>IF(ISNUMBER(D25),E25*D25,NA())</x:f>
        <x:v>660</x:v>
      </x:c>
      <x:c r="J25" s="19" t="n">
        <x:f>IF(ISNUMBER(D25),F25*D25,NA())</x:f>
        <x:v>360</x:v>
      </x:c>
      <x:c r="K25" s="19" t="n">
        <x:f>IF(ISNUMBER(D25),H25*D25,NA())</x:f>
        <x:v>720</x:v>
      </x:c>
      <x:c r="L25" s="8" t="n">
        <x:f>IF(ISNUMBER(C25),IF(C25=0,"n.a.",H25/C25),"À renseigner")</x:f>
        <x:v>0.8</x:v>
      </x:c>
    </x:row>
    <x:row r="26" ht="25" customHeight="1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5" customHeight="1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5" customHeight="1">
      <x:c r="B28" s="12" t="str">
        <x:v>Frais du scénario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36" customHeight="1">
      <x:c r="B29" s="7" t="str">
        <x:v>Poste</x:v>
      </x:c>
      <x:c r="C29" s="7" t="str"/>
      <x:c r="D29" s="7" t="str"/>
      <x:c r="E29" s="7" t="str"/>
      <x:c r="F29" s="7" t="str">
        <x:v>Prévu EUR</x:v>
      </x:c>
      <x:c r="G29" s="7" t="str">
        <x:v>Consommé EUR</x:v>
      </x:c>
      <x:c r="H29" s="7" t="str">
        <x:v>Prévision EUR</x:v>
      </x:c>
      <x:c r="I29" s="2"/>
      <x:c r="J29" s="2"/>
      <x:c r="K29" s="2"/>
      <x:c r="L29" s="2"/>
    </x:row>
    <x:row r="30" ht="25" customHeight="1">
      <x:c r="B30" s="2" t="str">
        <x:v>Infrastructure de démonstration</x:v>
      </x:c>
      <x:c r="C30" s="2"/>
      <x:c r="D30" s="2"/>
      <x:c r="E30" s="2"/>
      <x:c r="F30" s="18" t="n">
        <x:v>120</x:v>
      </x:c>
      <x:c r="G30" s="18" t="n">
        <x:v>120</x:v>
      </x:c>
      <x:c r="H30" s="18" t="n">
        <x:v>140</x:v>
      </x:c>
      <x:c r="I30" s="2"/>
      <x:c r="J30" s="2"/>
      <x:c r="K30" s="2"/>
      <x:c r="L30" s="2"/>
    </x:row>
    <x:row r="31" ht="25" customHeight="1">
      <x:c r="B31" s="2" t="str">
        <x:v>Formation ciblée</x:v>
      </x:c>
      <x:c r="C31" s="2"/>
      <x:c r="D31" s="2"/>
      <x:c r="E31" s="2"/>
      <x:c r="F31" s="18" t="n">
        <x:v>60</x:v>
      </x:c>
      <x:c r="G31" s="18" t="n">
        <x:v>0</x:v>
      </x:c>
      <x:c r="H31" s="18" t="n">
        <x:v>60</x:v>
      </x:c>
      <x:c r="I31" s="2"/>
      <x:c r="J31" s="2"/>
      <x:c r="K31" s="2"/>
      <x:c r="L31" s="2"/>
    </x:row>
    <x:row r="32" ht="25" customHeight="1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5" customHeight="1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5" customHeight="1">
      <x:c r="B34" s="2" t="str">
        <x:v>La formation inclut 6 h déjà comptées dans les tâches. Aucun double comptage du temps.</x:v>
      </x:c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5" customHeight="1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5" customHeight="1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</x:sheetData>
  <x:conditionalFormatting sqref="L23:L25">
    <x:cfRule type="cellIs" dxfId="0" priority="1" operator="greaterThan">
      <x:formula>$F$9</x:formula>
    </x:cfRule>
  </x:conditionalFormatting>
  <x:conditionalFormatting sqref="C19:C19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8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5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7" hidden="0" customWidth="1"/>
    <x:col min="14" max="14" width="12" hidden="0" customWidth="1"/>
  </x:cols>
  <x:sheetData>
    <x:row r="2" ht="34" customHeight="1">
      <x:c r="A2" s="2"/>
      <x:c r="B2" s="3" t="str">
        <x:v>Spity - Planning et charges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/>
      <x:c r="B4" s="4" t="str">
        <x:v>SIMULATION PÉDAGOGIQUE - état à J10, horizon de 15 jours ouvrés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/>
      <x:c r="B5" s="4" t="str">
        <x:v>Les jours, charges, taux et réunions du cas ne sont pas des observations historiques.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36" customHeight="1">
      <x:c r="A8" s="7" t="str">
        <x:v>ID</x:v>
      </x:c>
      <x:c r="B8" s="7" t="str">
        <x:v>Tâche</x:v>
      </x:c>
      <x:c r="C8" s="7" t="str">
        <x:v>Rôle</x:v>
      </x:c>
      <x:c r="D8" s="7" t="str">
        <x:v>Début J</x:v>
      </x:c>
      <x:c r="E8" s="7" t="str">
        <x:v>Fin prévue J</x:v>
      </x:c>
      <x:c r="F8" s="7" t="str">
        <x:v>Fin revue J</x:v>
      </x:c>
      <x:c r="G8" s="7" t="str">
        <x:v>Statut</x:v>
      </x:c>
      <x:c r="H8" s="7" t="str">
        <x:v>Prévu h</x:v>
      </x:c>
      <x:c r="I8" s="7" t="str">
        <x:v>Consommé h</x:v>
      </x:c>
      <x:c r="J8" s="7" t="str">
        <x:v>Restant h</x:v>
      </x:c>
      <x:c r="K8" s="7" t="str">
        <x:v>Prévision h</x:v>
      </x:c>
      <x:c r="L8" s="7" t="str">
        <x:v>Écart h</x:v>
      </x:c>
      <x:c r="M8" s="7" t="str">
        <x:v>Prérequis</x:v>
      </x:c>
      <x:c r="N8" s="7" t="str">
        <x:v>Retard j</x:v>
      </x:c>
    </x:row>
    <x:row r="9" ht="25" customHeight="1">
      <x:c r="A9" s="2" t="str">
        <x:v>T01</x:v>
      </x:c>
      <x:c r="B9" s="2" t="str">
        <x:v>Cadrage et périmètre</x:v>
      </x:c>
      <x:c r="C9" s="2" t="str">
        <x:v>CP</x:v>
      </x:c>
      <x:c r="D9" s="22" t="n">
        <x:v>1</x:v>
      </x:c>
      <x:c r="E9" s="22" t="n">
        <x:v>2</x:v>
      </x:c>
      <x:c r="F9" s="22" t="n">
        <x:v>2</x:v>
      </x:c>
      <x:c r="G9" s="18" t="str">
        <x:v>Terminé</x:v>
      </x:c>
      <x:c r="H9" s="18" t="n">
        <x:v>6</x:v>
      </x:c>
      <x:c r="I9" s="18" t="n">
        <x:v>6</x:v>
      </x:c>
      <x:c r="J9" s="18" t="n">
        <x:v>0</x:v>
      </x:c>
      <x:c r="K9" s="2" t="n">
        <x:f>IF(COUNT(I9:J9)=2,SUM(I9:J9),NA())</x:f>
        <x:v>6</x:v>
      </x:c>
      <x:c r="L9" s="2" t="n">
        <x:f>K9-H9</x:f>
        <x:v>0</x:v>
      </x:c>
      <x:c r="M9" s="20" t="str">
        <x:v>Aucun</x:v>
      </x:c>
      <x:c r="N9" s="20" t="n">
        <x:f>F9-E9</x:f>
        <x:v>0</x:v>
      </x:c>
    </x:row>
    <x:row r="10" ht="25" customHeight="1">
      <x:c r="A10" s="2" t="str">
        <x:v>T02</x:v>
      </x:c>
      <x:c r="B10" s="2" t="str">
        <x:v>Besoins et critères de recette</x:v>
      </x:c>
      <x:c r="C10" s="2" t="str">
        <x:v>QA</x:v>
      </x:c>
      <x:c r="D10" s="22" t="n">
        <x:v>1</x:v>
      </x:c>
      <x:c r="E10" s="22" t="n">
        <x:v>3</x:v>
      </x:c>
      <x:c r="F10" s="22" t="n">
        <x:v>3</x:v>
      </x:c>
      <x:c r="G10" s="18" t="str">
        <x:v>Terminé</x:v>
      </x:c>
      <x:c r="H10" s="18" t="n">
        <x:v>8</x:v>
      </x:c>
      <x:c r="I10" s="18" t="n">
        <x:v>8</x:v>
      </x:c>
      <x:c r="J10" s="18" t="n">
        <x:v>0</x:v>
      </x:c>
      <x:c r="K10" s="2" t="n">
        <x:f>IF(COUNT(I10:J10)=2,SUM(I10:J10),NA())</x:f>
        <x:v>8</x:v>
      </x:c>
      <x:c r="L10" s="2" t="n">
        <x:f>K10-H10</x:f>
        <x:v>0</x:v>
      </x:c>
      <x:c r="M10" s="20" t="str">
        <x:v>Aucun</x:v>
      </x:c>
      <x:c r="N10" s="20" t="n">
        <x:f>F10-E10</x:f>
        <x:v>0</x:v>
      </x:c>
    </x:row>
    <x:row r="11" ht="25" customHeight="1">
      <x:c r="A11" s="2" t="str">
        <x:v>T03</x:v>
      </x:c>
      <x:c r="B11" s="2" t="str">
        <x:v>Planning et ressources</x:v>
      </x:c>
      <x:c r="C11" s="2" t="str">
        <x:v>CP</x:v>
      </x:c>
      <x:c r="D11" s="22" t="n">
        <x:v>2</x:v>
      </x:c>
      <x:c r="E11" s="22" t="n">
        <x:v>3</x:v>
      </x:c>
      <x:c r="F11" s="22" t="n">
        <x:v>4</x:v>
      </x:c>
      <x:c r="G11" s="18" t="str">
        <x:v>Terminé</x:v>
      </x:c>
      <x:c r="H11" s="18" t="n">
        <x:v>6</x:v>
      </x:c>
      <x:c r="I11" s="18" t="n">
        <x:v>7</x:v>
      </x:c>
      <x:c r="J11" s="18" t="n">
        <x:v>0</x:v>
      </x:c>
      <x:c r="K11" s="2" t="n">
        <x:f>IF(COUNT(I11:J11)=2,SUM(I11:J11),NA())</x:f>
        <x:v>7</x:v>
      </x:c>
      <x:c r="L11" s="2" t="n">
        <x:f>K11-H11</x:f>
        <x:v>1</x:v>
      </x:c>
      <x:c r="M11" s="20" t="str">
        <x:v>Aucun</x:v>
      </x:c>
      <x:c r="N11" s="20" t="n">
        <x:f>F11-E11</x:f>
        <x:v>1</x:v>
      </x:c>
    </x:row>
    <x:row r="12" ht="25" customHeight="1">
      <x:c r="A12" s="2" t="str">
        <x:v>T04</x:v>
      </x:c>
      <x:c r="B12" s="2" t="str">
        <x:v>Accès et profils</x:v>
      </x:c>
      <x:c r="C12" s="2" t="str">
        <x:v>DEV</x:v>
      </x:c>
      <x:c r="D12" s="22" t="n">
        <x:v>3</x:v>
      </x:c>
      <x:c r="E12" s="22" t="n">
        <x:v>5</x:v>
      </x:c>
      <x:c r="F12" s="22" t="n">
        <x:v>6</x:v>
      </x:c>
      <x:c r="G12" s="18" t="str">
        <x:v>Terminé</x:v>
      </x:c>
      <x:c r="H12" s="18" t="n">
        <x:v>18</x:v>
      </x:c>
      <x:c r="I12" s="18" t="n">
        <x:v>20</x:v>
      </x:c>
      <x:c r="J12" s="18" t="n">
        <x:v>0</x:v>
      </x:c>
      <x:c r="K12" s="2" t="n">
        <x:f>IF(COUNT(I12:J12)=2,SUM(I12:J12),NA())</x:f>
        <x:v>20</x:v>
      </x:c>
      <x:c r="L12" s="2" t="n">
        <x:f>K12-H12</x:f>
        <x:v>2</x:v>
      </x:c>
      <x:c r="M12" s="20" t="str">
        <x:v>T01</x:v>
      </x:c>
      <x:c r="N12" s="20" t="n">
        <x:f>F12-E12</x:f>
        <x:v>1</x:v>
      </x:c>
    </x:row>
    <x:row r="13" ht="25" customHeight="1">
      <x:c r="A13" s="2" t="str">
        <x:v>T05</x:v>
      </x:c>
      <x:c r="B13" s="2" t="str">
        <x:v>Matching et partenariats</x:v>
      </x:c>
      <x:c r="C13" s="2" t="str">
        <x:v>DEV</x:v>
      </x:c>
      <x:c r="D13" s="22" t="n">
        <x:v>6</x:v>
      </x:c>
      <x:c r="E13" s="22" t="n">
        <x:v>8</x:v>
      </x:c>
      <x:c r="F13" s="22" t="n">
        <x:v>8</x:v>
      </x:c>
      <x:c r="G13" s="18" t="str">
        <x:v>Terminé</x:v>
      </x:c>
      <x:c r="H13" s="18" t="n">
        <x:v>16</x:v>
      </x:c>
      <x:c r="I13" s="18" t="n">
        <x:v>16</x:v>
      </x:c>
      <x:c r="J13" s="18" t="n">
        <x:v>0</x:v>
      </x:c>
      <x:c r="K13" s="2" t="n">
        <x:f>IF(COUNT(I13:J13)=2,SUM(I13:J13),NA())</x:f>
        <x:v>16</x:v>
      </x:c>
      <x:c r="L13" s="2" t="n">
        <x:f>K13-H13</x:f>
        <x:v>0</x:v>
      </x:c>
      <x:c r="M13" s="20" t="str">
        <x:v>T04</x:v>
      </x:c>
      <x:c r="N13" s="20" t="n">
        <x:f>F13-E13</x:f>
        <x:v>0</x:v>
      </x:c>
    </x:row>
    <x:row r="14" ht="25" customHeight="1">
      <x:c r="A14" s="2" t="str">
        <x:v>T06</x:v>
      </x:c>
      <x:c r="B14" s="2" t="str">
        <x:v>Événements et capacité</x:v>
      </x:c>
      <x:c r="C14" s="2" t="str">
        <x:v>DEV</x:v>
      </x:c>
      <x:c r="D14" s="22" t="n">
        <x:v>9</x:v>
      </x:c>
      <x:c r="E14" s="22" t="n">
        <x:v>11</x:v>
      </x:c>
      <x:c r="F14" s="22" t="n">
        <x:v>12</x:v>
      </x:c>
      <x:c r="G14" s="18" t="str">
        <x:v>En cours</x:v>
      </x:c>
      <x:c r="H14" s="18" t="n">
        <x:v>18</x:v>
      </x:c>
      <x:c r="I14" s="18" t="n">
        <x:v>10</x:v>
      </x:c>
      <x:c r="J14" s="18" t="n">
        <x:v>10</x:v>
      </x:c>
      <x:c r="K14" s="2" t="n">
        <x:f>IF(COUNT(I14:J14)=2,SUM(I14:J14),NA())</x:f>
        <x:v>20</x:v>
      </x:c>
      <x:c r="L14" s="2" t="n">
        <x:f>K14-H14</x:f>
        <x:v>2</x:v>
      </x:c>
      <x:c r="M14" s="20" t="str">
        <x:v>T05</x:v>
      </x:c>
      <x:c r="N14" s="20" t="n">
        <x:f>F14-E14</x:f>
        <x:v>1</x:v>
      </x:c>
    </x:row>
    <x:row r="15" ht="25" customHeight="1">
      <x:c r="A15" s="2" t="str">
        <x:v>T07</x:v>
      </x:c>
      <x:c r="B15" s="2" t="str">
        <x:v>Recette et accessibilité</x:v>
      </x:c>
      <x:c r="C15" s="2" t="str">
        <x:v>QA</x:v>
      </x:c>
      <x:c r="D15" s="22" t="n">
        <x:v>10</x:v>
      </x:c>
      <x:c r="E15" s="22" t="n">
        <x:v>13</x:v>
      </x:c>
      <x:c r="F15" s="22" t="n">
        <x:v>14</x:v>
      </x:c>
      <x:c r="G15" s="18" t="str">
        <x:v>En cours</x:v>
      </x:c>
      <x:c r="H15" s="18" t="n">
        <x:v>14</x:v>
      </x:c>
      <x:c r="I15" s="18" t="n">
        <x:v>4</x:v>
      </x:c>
      <x:c r="J15" s="18" t="n">
        <x:v>12</x:v>
      </x:c>
      <x:c r="K15" s="2" t="n">
        <x:f>IF(COUNT(I15:J15)=2,SUM(I15:J15),NA())</x:f>
        <x:v>16</x:v>
      </x:c>
      <x:c r="L15" s="2" t="n">
        <x:f>K15-H15</x:f>
        <x:v>2</x:v>
      </x:c>
      <x:c r="M15" s="20" t="str">
        <x:v>T02, T05</x:v>
      </x:c>
      <x:c r="N15" s="20" t="n">
        <x:f>F15-E15</x:f>
        <x:v>1</x:v>
      </x:c>
    </x:row>
    <x:row r="16" ht="25" customHeight="1">
      <x:c r="A16" s="2" t="str">
        <x:v>T08</x:v>
      </x:c>
      <x:c r="B16" s="2" t="str">
        <x:v>Suivi et validations client</x:v>
      </x:c>
      <x:c r="C16" s="2" t="str">
        <x:v>CP</x:v>
      </x:c>
      <x:c r="D16" s="22" t="n">
        <x:v>1</x:v>
      </x:c>
      <x:c r="E16" s="22" t="n">
        <x:v>14</x:v>
      </x:c>
      <x:c r="F16" s="22" t="n">
        <x:v>14</x:v>
      </x:c>
      <x:c r="G16" s="18" t="str">
        <x:v>En cours</x:v>
      </x:c>
      <x:c r="H16" s="18" t="n">
        <x:v>8</x:v>
      </x:c>
      <x:c r="I16" s="18" t="n">
        <x:v>6</x:v>
      </x:c>
      <x:c r="J16" s="18" t="n">
        <x:v>2</x:v>
      </x:c>
      <x:c r="K16" s="2" t="n">
        <x:f>IF(COUNT(I16:J16)=2,SUM(I16:J16),NA())</x:f>
        <x:v>8</x:v>
      </x:c>
      <x:c r="L16" s="2" t="n">
        <x:f>K16-H16</x:f>
        <x:v>0</x:v>
      </x:c>
      <x:c r="M16" s="20" t="str">
        <x:v>Aucun</x:v>
      </x:c>
      <x:c r="N16" s="20" t="n">
        <x:f>F16-E16</x:f>
        <x:v>0</x:v>
      </x:c>
    </x:row>
    <x:row r="17" ht="25" customHeight="1">
      <x:c r="A17" s="2" t="str">
        <x:v>T09</x:v>
      </x:c>
      <x:c r="B17" s="2" t="str">
        <x:v>Restitution et démonstration</x:v>
      </x:c>
      <x:c r="C17" s="2" t="str">
        <x:v>CP</x:v>
      </x:c>
      <x:c r="D17" s="22" t="n">
        <x:v>14</x:v>
      </x:c>
      <x:c r="E17" s="22" t="n">
        <x:v>15</x:v>
      </x:c>
      <x:c r="F17" s="22" t="n">
        <x:v>15</x:v>
      </x:c>
      <x:c r="G17" s="18" t="str">
        <x:v>À faire</x:v>
      </x:c>
      <x:c r="H17" s="18" t="n">
        <x:v>8</x:v>
      </x:c>
      <x:c r="I17" s="18" t="n">
        <x:v>0</x:v>
      </x:c>
      <x:c r="J17" s="18" t="n">
        <x:v>8</x:v>
      </x:c>
      <x:c r="K17" s="2" t="n">
        <x:f>IF(COUNT(I17:J17)=2,SUM(I17:J17),NA())</x:f>
        <x:v>8</x:v>
      </x:c>
      <x:c r="L17" s="2" t="n">
        <x:f>K17-H17</x:f>
        <x:v>0</x:v>
      </x:c>
      <x:c r="M17" s="20" t="str">
        <x:v>T07</x:v>
      </x:c>
      <x:c r="N17" s="20" t="n">
        <x:f>F17-E17</x:f>
        <x:v>0</x:v>
      </x:c>
    </x:row>
    <x:row r="18" ht="25" customHeight="1">
      <x:c r="A18" s="2" t="str">
        <x:v>T10</x:v>
      </x:c>
      <x:c r="B18" s="2" t="str">
        <x:v>Corrections de recette</x:v>
      </x:c>
      <x:c r="C18" s="2" t="str">
        <x:v>DEV</x:v>
      </x:c>
      <x:c r="D18" s="22" t="n">
        <x:v>12</x:v>
      </x:c>
      <x:c r="E18" s="22" t="n">
        <x:v>14</x:v>
      </x:c>
      <x:c r="F18" s="22" t="n">
        <x:v>14</x:v>
      </x:c>
      <x:c r="G18" s="18" t="str">
        <x:v>À faire</x:v>
      </x:c>
      <x:c r="H18" s="18" t="n">
        <x:v>10</x:v>
      </x:c>
      <x:c r="I18" s="18" t="n">
        <x:v>0</x:v>
      </x:c>
      <x:c r="J18" s="18" t="n">
        <x:v>8</x:v>
      </x:c>
      <x:c r="K18" s="2" t="n">
        <x:f>IF(COUNT(I18:J18)=2,SUM(I18:J18),NA())</x:f>
        <x:v>8</x:v>
      </x:c>
      <x:c r="L18" s="2" t="n">
        <x:f>K18-H18</x:f>
        <x:v>-2</x:v>
      </x:c>
      <x:c r="M18" s="20" t="str">
        <x:v>T06</x:v>
      </x:c>
      <x:c r="N18" s="20" t="n">
        <x:f>F18-E18</x:f>
        <x:v>0</x:v>
      </x:c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5" customHeight="1">
      <x:c r="A20" s="2"/>
      <x:c r="B20" s="2" t="str">
        <x:v>Source : simulation pédagogique du lot. J1 à J15 ne sont pas des dates de réalisation historiques.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5" customHeight="1">
      <x:c r="A21" s="2"/>
      <x:c r="B21" s="2" t="str">
        <x:v>La clôture de T07 requiert aussi les vérifications de T06 et T10. Les jalons sont décrits dans A01.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</x:sheetData>
  <x:conditionalFormatting sqref="L9:L18">
    <x:cfRule type="cellIs" dxfId="2" priority="1" operator="greaterThan">
      <x:formula>0</x:formula>
    </x:cfRule>
  </x:conditionalFormatting>
  <x:conditionalFormatting sqref="N9:N18">
    <x:cfRule type="cellIs" dxfId="3" priority="2" operator="greaterThan">
      <x:formula>0</x:formula>
    </x:cfRule>
  </x:conditionalFormatting>
  <x:dataValidations count="2">
    <x:dataValidation type="list" sqref="G9:G18">
      <x:formula1>"À faire,En cours,À vérifier,Terminé"</x:formula1>
    </x:dataValidation>
    <x:dataValidation type="list" sqref="C9:C18">
      <x:formula1>"CP,DEV,QA"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48" hidden="0" customWidth="1"/>
    <x:col min="8" max="8" width="48" hidden="0" customWidth="1"/>
  </x:cols>
  <x:sheetData>
    <x:row r="2" ht="34" customHeight="1">
      <x:c r="A2" s="2"/>
      <x:c r="B2" s="3" t="str">
        <x:v>Spity - Registre des risques</x:v>
      </x:c>
      <x:c r="C2" s="2"/>
      <x:c r="D2" s="2"/>
      <x:c r="E2" s="2"/>
      <x:c r="F2" s="2"/>
      <x:c r="G2" s="2"/>
      <x:c r="H2" s="2"/>
    </x:row>
    <x:row r="3" ht="25" customHeight="1">
      <x:c r="A3" s="2"/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4" t="str">
        <x:v>SIMULATION PÉDAGOGIQUE - état à J10, horizon de 15 jours ouvrés</x:v>
      </x:c>
      <x:c r="C4" s="2"/>
      <x:c r="D4" s="2"/>
      <x:c r="E4" s="2"/>
      <x:c r="F4" s="2"/>
      <x:c r="G4" s="2"/>
      <x:c r="H4" s="2"/>
    </x:row>
    <x:row r="5" ht="25" customHeight="1">
      <x:c r="A5" s="2"/>
      <x:c r="B5" s="4" t="str">
        <x:v>Les jours, charges, taux et réunions du cas ne sont pas des observations historiques.</x:v>
      </x:c>
      <x:c r="C5" s="2"/>
      <x:c r="D5" s="2"/>
      <x:c r="E5" s="2"/>
      <x:c r="F5" s="2"/>
      <x:c r="G5" s="2"/>
      <x:c r="H5" s="2"/>
    </x:row>
    <x:row r="6" ht="25" customHeight="1">
      <x:c r="A6" s="2"/>
      <x:c r="B6" s="2"/>
      <x:c r="C6" s="2"/>
      <x:c r="D6" s="2"/>
      <x:c r="E6" s="2"/>
      <x:c r="F6" s="2"/>
      <x:c r="G6" s="2"/>
      <x:c r="H6" s="2"/>
    </x:row>
    <x:row r="7" ht="25" customHeight="1">
      <x:c r="A7" s="2"/>
      <x:c r="B7" s="2"/>
      <x:c r="C7" s="2"/>
      <x:c r="D7" s="2"/>
      <x:c r="E7" s="2"/>
      <x:c r="F7" s="2"/>
      <x:c r="G7" s="2"/>
      <x:c r="H7" s="2"/>
    </x:row>
    <x:row r="8" ht="36" customHeight="1">
      <x:c r="A8" s="7" t="str">
        <x:v>ID</x:v>
      </x:c>
      <x:c r="B8" s="7" t="str">
        <x:v>Risque</x:v>
      </x:c>
      <x:c r="C8" s="7" t="str">
        <x:v>Probabilité</x:v>
      </x:c>
      <x:c r="D8" s="7" t="str">
        <x:v>Impact</x:v>
      </x:c>
      <x:c r="E8" s="7" t="str">
        <x:v>Score</x:v>
      </x:c>
      <x:c r="F8" s="7" t="str">
        <x:v>Pilote</x:v>
      </x:c>
      <x:c r="G8" s="7" t="str">
        <x:v>Réponse</x:v>
      </x:c>
      <x:c r="H8" s="7" t="str">
        <x:v>Déclencheur</x:v>
      </x:c>
    </x:row>
    <x:row r="9" ht="72" customHeight="1">
      <x:c r="A9" s="2" t="str">
        <x:v>R01</x:v>
      </x:c>
      <x:c r="B9" s="23" t="str">
        <x:v>Environnement de démonstration indisponible</x:v>
      </x:c>
      <x:c r="C9" s="18" t="n">
        <x:v>3</x:v>
      </x:c>
      <x:c r="D9" s="18" t="n">
        <x:v>3</x:v>
      </x:c>
      <x:c r="E9" s="2" t="n">
        <x:f>IF(COUNT(C9:D9)=2,C9*D9,NA())</x:f>
        <x:v>9</x:v>
      </x:c>
      <x:c r="F9" s="2" t="str">
        <x:v>CP</x:v>
      </x:c>
      <x:c r="G9" s="23" t="str">
        <x:v>Tester l'installation à J12, répéter à J14 et conserver des captures datées de secours</x:v>
      </x:c>
      <x:c r="H9" s="23" t="str">
        <x:v>Sonde de santé indisponible ou base inaccessible</x:v>
      </x:c>
    </x:row>
    <x:row r="10" ht="72" customHeight="1">
      <x:c r="A10" s="2" t="str">
        <x:v>R02</x:v>
      </x:c>
      <x:c r="B10" s="23" t="str">
        <x:v>Surcharge du chef de projet</x:v>
      </x:c>
      <x:c r="C10" s="18" t="n">
        <x:v>2</x:v>
      </x:c>
      <x:c r="D10" s="18" t="n">
        <x:v>3</x:v>
      </x:c>
      <x:c r="E10" s="2" t="n">
        <x:f>IF(COUNT(C10:D10)=2,C10*D10,NA())</x:f>
        <x:v>6</x:v>
      </x:c>
      <x:c r="F10" s="2" t="str">
        <x:v>CP</x:v>
      </x:c>
      <x:c r="G10" s="23" t="str">
        <x:v>Limiter le travail simultané et faire préparer la grille de recette par QA</x:v>
      </x:c>
      <x:c r="H10" s="23" t="str">
        <x:v>Prévision de charge supérieure à 90 % de la capacité</x:v>
      </x:c>
    </x:row>
    <x:row r="11" ht="72" customHeight="1">
      <x:c r="A11" s="2" t="str">
        <x:v>R03</x:v>
      </x:c>
      <x:c r="B11" s="23" t="str">
        <x:v>Ajout tardif de contributions aux topos</x:v>
      </x:c>
      <x:c r="C11" s="18" t="n">
        <x:v>2</x:v>
      </x:c>
      <x:c r="D11" s="18" t="n">
        <x:v>3</x:v>
      </x:c>
      <x:c r="E11" s="2" t="n">
        <x:f>IF(COUNT(C11:D11)=2,C11*D11,NA())</x:f>
        <x:v>6</x:v>
      </x:c>
      <x:c r="F11" s="2" t="str">
        <x:v>CP</x:v>
      </x:c>
      <x:c r="G11" s="23" t="str">
        <x:v>Reporter ce lot après la démonstration et consigner la décision client simulée</x:v>
      </x:c>
      <x:c r="H11" s="23" t="str">
        <x:v>Nouvelle demande sans capacité ni recette disponible</x:v>
      </x:c>
    </x:row>
    <x:row r="12" ht="72" customHeight="1">
      <x:c r="A12" s="2" t="str">
        <x:v>R04</x:v>
      </x:c>
      <x:c r="B12" s="23" t="str">
        <x:v>Défaut de capacité des événements</x:v>
      </x:c>
      <x:c r="C12" s="18" t="n">
        <x:v>2</x:v>
      </x:c>
      <x:c r="D12" s="18" t="n">
        <x:v>3</x:v>
      </x:c>
      <x:c r="E12" s="2" t="n">
        <x:f>IF(COUNT(C12:D12)=2,C12*D12,NA())</x:f>
        <x:v>6</x:v>
      </x:c>
      <x:c r="F12" s="2" t="str">
        <x:v>DEV</x:v>
      </x:c>
      <x:c r="G12" s="23" t="str">
        <x:v>Vérifier l'inscription concurrente et les refus d'accès</x:v>
      </x:c>
      <x:c r="H12" s="23" t="str">
        <x:v>Deux inscriptions acceptées sur la dernière place</x:v>
      </x:c>
    </x:row>
    <x:row r="13" ht="72" customHeight="1">
      <x:c r="A13" s="2" t="str">
        <x:v>R05</x:v>
      </x:c>
      <x:c r="B13" s="23" t="str">
        <x:v>Consignes de dépôt non confirmées</x:v>
      </x:c>
      <x:c r="C13" s="18" t="n">
        <x:v>2</x:v>
      </x:c>
      <x:c r="D13" s="18" t="n">
        <x:v>3</x:v>
      </x:c>
      <x:c r="E13" s="2" t="n">
        <x:f>IF(COUNT(C13:D13)=2,C13*D13,NA())</x:f>
        <x:v>6</x:v>
      </x:c>
      <x:c r="F13" s="2" t="str">
        <x:v>CP</x:v>
      </x:c>
      <x:c r="G13" s="23" t="str">
        <x:v>Consulter la convocation et le règlement spécial avant le dépôt</x:v>
      </x:c>
      <x:c r="H13" s="23" t="str">
        <x:v>Date limite ou livrable demandé non identifié</x:v>
      </x:c>
    </x:row>
    <x:row r="14" ht="25" customHeight="1">
      <x:c r="A14" s="2"/>
      <x:c r="B14" s="2"/>
      <x:c r="C14" s="2"/>
      <x:c r="D14" s="2"/>
      <x:c r="E14" s="2"/>
      <x:c r="F14" s="2"/>
      <x:c r="G14" s="2"/>
      <x:c r="H14" s="2"/>
    </x:row>
    <x:row r="15" ht="25" customHeight="1">
      <x:c r="A15" s="2"/>
      <x:c r="B15" s="2" t="str">
        <x:v>Source : hypothèses du cas. Échelle de 1 (faible) à 3 (fort) ; revue des scores 6 ou 9.</x:v>
      </x:c>
      <x:c r="C15" s="2"/>
      <x:c r="D15" s="2"/>
      <x:c r="E15" s="2"/>
      <x:c r="F15" s="2"/>
      <x:c r="G15" s="2"/>
      <x:c r="H15" s="2"/>
    </x:row>
  </x:sheetData>
  <x:conditionalFormatting sqref="E9:E13">
    <x:cfRule type="cellIs" dxfId="4" priority="1" operator="greaterThanOrEqual">
      <x:formula>6</x:formula>
    </x:cfRule>
  </x:conditionalFormatting>
  <x:dataValidations count="1">
    <x:dataValidation type="whole" operator="between" sqref="C9:D13">
      <x:formula1>1</x:formula1>
      <x:formula2>3</x:formula2>
    </x:dataValidation>
  </x:dataValidations>
  <x:pageMargins left="0.7" right="0.7" top="0.75" bottom="0.75" header="0.3" footer="0.3"/>
</x:worksheet>
</file>