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cture" sheetId="1" state="visible" r:id="rId3"/>
    <sheet name="Chronologie" sheetId="2" state="visible" r:id="rId4"/>
    <sheet name="Linear" sheetId="3" state="visible" r:id="rId5"/>
    <sheet name="Indicateurs" sheetId="4" state="visible" r:id="rId6"/>
    <sheet name="Cadrage" sheetId="5" state="visible" r:id="rId7"/>
    <sheet name="Navigation" sheetId="6" state="visible" r:id="rId8"/>
    <sheet name="Retours SIMULES" sheetId="7" state="visible" r:id="rId9"/>
    <sheet name="Suivi SIMULE" sheetId="8" state="visible" r:id="rId10"/>
  </sheets>
  <definedNames>
    <definedName function="false" hidden="false" localSheetId="4" name="_xlnm.Print_Titles" vbProcedure="false">Cadrage!$1:$1</definedName>
    <definedName function="false" hidden="true" localSheetId="4" name="_xlnm._FilterDatabase" vbProcedure="false">Cadrage!$A$1:$E$19</definedName>
    <definedName function="false" hidden="false" localSheetId="1" name="_xlnm.Print_Titles" vbProcedure="false">Chronologie!$1:$1</definedName>
    <definedName function="false" hidden="true" localSheetId="1" name="_xlnm._FilterDatabase" vbProcedure="false">Chronologie!$A$1:$D$17</definedName>
    <definedName function="false" hidden="false" localSheetId="3" name="_xlnm.Print_Titles" vbProcedure="false">Indicateurs!$1:$1</definedName>
    <definedName function="false" hidden="true" localSheetId="3" name="_xlnm._FilterDatabase" vbProcedure="false">Indicateurs!$A$1:$C$8</definedName>
    <definedName function="false" hidden="false" localSheetId="0" name="_xlnm.Print_Titles" vbProcedure="false">Lecture!$1:$1</definedName>
    <definedName function="false" hidden="true" localSheetId="0" name="_xlnm._FilterDatabase" vbProcedure="false">Lecture!$A$1:$B$8</definedName>
    <definedName function="false" hidden="false" localSheetId="2" name="_xlnm.Print_Titles" vbProcedure="false">Linear!$1:$1</definedName>
    <definedName function="false" hidden="true" localSheetId="2" name="_xlnm._FilterDatabase" vbProcedure="false">Linear!$A$1:$E$26</definedName>
    <definedName function="false" hidden="false" localSheetId="5" name="_xlnm.Print_Titles" vbProcedure="false">Navigation!$1:$1</definedName>
    <definedName function="false" hidden="true" localSheetId="5" name="_xlnm._FilterDatabase" vbProcedure="false">Navigation!$A$1:$E$6</definedName>
    <definedName function="false" hidden="false" localSheetId="6" name="_xlnm.Print_Titles" vbProcedure="false">'Retours SIMULES'!$1:$1</definedName>
    <definedName function="false" hidden="true" localSheetId="6" name="_xlnm._FilterDatabase" vbProcedure="false">'Retours SIMULES'!$A$1:$F$4</definedName>
    <definedName function="false" hidden="false" localSheetId="7" name="_xlnm.Print_Titles" vbProcedure="false">'Suivi SIMULE'!$1:$1</definedName>
    <definedName function="false" hidden="true" localSheetId="7" name="_xlnm._FilterDatabase" vbProcedure="false">'Suivi SIMULE'!$A$1:$C$18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<sst xmlns="http://schemas.openxmlformats.org/spreadsheetml/2006/main" count="349" uniqueCount="256">
  <si>
    <t xml:space="preserve">Information</t>
  </si>
  <si>
    <t xml:space="preserve">Portée</t>
  </si>
  <si>
    <t xml:space="preserve">Projet</t>
  </si>
  <si>
    <t xml:space="preserve">Spity, projet solo sur un an déclaré par Dorian. Mois exacts non fournis.</t>
  </si>
  <si>
    <t xml:space="preserve">Chronologie</t>
  </si>
  <si>
    <t xml:space="preserve">Dates Git : étapes enregistrées, pas relevé exhaustif d’activité.</t>
  </si>
  <si>
    <t xml:space="preserve">Linear</t>
  </si>
  <si>
    <t xml:space="preserve">Relevé du 14/09/2026, non actualisé. Décompte non pondéré.</t>
  </si>
  <si>
    <t xml:space="preserve">Cadrage</t>
  </si>
  <si>
    <t xml:space="preserve">Charges et montants estimés du diaporama B1 ; aucun consommé réel.</t>
  </si>
  <si>
    <t xml:space="preserve">Navigation</t>
  </si>
  <si>
    <t xml:space="preserve">Mesures locales du 15/09, un passage par parcours ; aucune mesure de production.</t>
  </si>
  <si>
    <t xml:space="preserve">Retours</t>
  </si>
  <si>
    <t xml:space="preserve">Personas et retours simulés pour l’exercice ; pas d’entretiens réalisés.</t>
  </si>
  <si>
    <t xml:space="preserve">Formules</t>
  </si>
  <si>
    <t xml:space="preserve">Recalculées par LibreOffice ; les sources sont conservées dans le kit.</t>
  </si>
  <si>
    <t xml:space="preserve">Date Git</t>
  </si>
  <si>
    <t xml:space="preserve">Étape</t>
  </si>
  <si>
    <t xml:space="preserve">Révision</t>
  </si>
  <si>
    <t xml:space="preserve">Source</t>
  </si>
  <si>
    <t xml:space="preserve">2026-01-24</t>
  </si>
  <si>
    <t xml:space="preserve">Fondations Next.js et Drizzle</t>
  </si>
  <si>
    <t xml:space="preserve">c2783de7f21a896179d9a6cf83cf427e71acd89d</t>
  </si>
  <si>
    <t xml:space="preserve">preuves/historique-git.txt</t>
  </si>
  <si>
    <t xml:space="preserve">2026-05-04</t>
  </si>
  <si>
    <t xml:space="preserve">Authentification</t>
  </si>
  <si>
    <t xml:space="preserve">f92a86d00e48a9906719483bb21c002397b71df4</t>
  </si>
  <si>
    <t xml:space="preserve">Profils et onboarding</t>
  </si>
  <si>
    <t xml:space="preserve">84d85c9c47cf4e9e760c574fc2d7c5dc697e94c9</t>
  </si>
  <si>
    <t xml:space="preserve">2026-05-05</t>
  </si>
  <si>
    <t xml:space="preserve">Répertoire des lieux</t>
  </si>
  <si>
    <t xml:space="preserve">97b425b92a9475eeee153dd42efc463433a9e7f8</t>
  </si>
  <si>
    <t xml:space="preserve">2026-07-20</t>
  </si>
  <si>
    <t xml:space="preserve">Matching et événements</t>
  </si>
  <si>
    <t xml:space="preserve">aa5079c26e0904245a3470c8149ec9f7404430f1</t>
  </si>
  <si>
    <t xml:space="preserve">Recette sur build compilé</t>
  </si>
  <si>
    <t xml:space="preserve">689e59dccf15dc611dbddccea9cf81ccc187c40c</t>
  </si>
  <si>
    <t xml:space="preserve">2026-07-28</t>
  </si>
  <si>
    <t xml:space="preserve">Commentaires du feed</t>
  </si>
  <si>
    <t xml:space="preserve">6809b3ed0a1ec93e499bffc06d8ef9913468abe7</t>
  </si>
  <si>
    <t xml:space="preserve">2026-08-13</t>
  </si>
  <si>
    <t xml:space="preserve">Maintenance des dépendances</t>
  </si>
  <si>
    <t xml:space="preserve">f892c31184be8ac889cb912305d15ca3b6394f15</t>
  </si>
  <si>
    <t xml:space="preserve">Supervision</t>
  </si>
  <si>
    <t xml:space="preserve">95c01f79d176c1694447d68f43573138b732a78a</t>
  </si>
  <si>
    <t xml:space="preserve">2026-09-09</t>
  </si>
  <si>
    <t xml:space="preserve">Médias sécurisés</t>
  </si>
  <si>
    <t xml:space="preserve">bafa5992bb6f9fd49a0873a051285a5afd4660b9</t>
  </si>
  <si>
    <t xml:space="preserve">Administration</t>
  </si>
  <si>
    <t xml:space="preserve">62937d584b74420e1071a5814c78c311cfc07511</t>
  </si>
  <si>
    <t xml:space="preserve">2026-09-11</t>
  </si>
  <si>
    <t xml:space="preserve">Voies et alertes en falaise</t>
  </si>
  <si>
    <t xml:space="preserve">3ae03231833e714422023de5decd6aae99e5be6c</t>
  </si>
  <si>
    <t xml:space="preserve">Liens et PDF de topos</t>
  </si>
  <si>
    <t xml:space="preserve">efda3e88d665fc6cce469e84eae7ac8315e2b0c6</t>
  </si>
  <si>
    <t xml:space="preserve">2026-09-15</t>
  </si>
  <si>
    <t xml:space="preserve">Fiabilisation des parcours de démonstration</t>
  </si>
  <si>
    <t xml:space="preserve">363f681217b6ba00f16d8c6c7396bf9653c4a8f7</t>
  </si>
  <si>
    <t xml:space="preserve">Correction de la navigation</t>
  </si>
  <si>
    <t xml:space="preserve">83e4c29d24a584d7f607f7840b6066e63e80a53c</t>
  </si>
  <si>
    <t xml:space="preserve">Fusion de la PR 35</t>
  </si>
  <si>
    <t xml:space="preserve">872db197b3e6bf3d053b698829c41674ae42a836</t>
  </si>
  <si>
    <t xml:space="preserve">ID</t>
  </si>
  <si>
    <t xml:space="preserve">Statut</t>
  </si>
  <si>
    <t xml:space="preserve">Priorité</t>
  </si>
  <si>
    <t xml:space="preserve">Intitulé</t>
  </si>
  <si>
    <t xml:space="preserve">URL</t>
  </si>
  <si>
    <t xml:space="preserve">SPI-5</t>
  </si>
  <si>
    <t xml:space="preserve">Canceled</t>
  </si>
  <si>
    <t xml:space="preserve">Urgent</t>
  </si>
  <si>
    <t xml:space="preserve">SPITY-001: Prisma schema User + Club</t>
  </si>
  <si>
    <t xml:space="preserve">https://linear.app/spitywa/issue/SPI-5/spity-001-prisma-schema-user-club</t>
  </si>
  <si>
    <t xml:space="preserve">SPI-6</t>
  </si>
  <si>
    <t xml:space="preserve">Todo</t>
  </si>
  <si>
    <t xml:space="preserve">High</t>
  </si>
  <si>
    <t xml:space="preserve">SPITY-002: JWT auth grimpeur/club</t>
  </si>
  <si>
    <t xml:space="preserve">https://linear.app/spitywa/issue/SPI-6/spity-002-jwt-auth-grimpeurclub</t>
  </si>
  <si>
    <t xml:space="preserve">SPI-7</t>
  </si>
  <si>
    <t xml:space="preserve">Done</t>
  </si>
  <si>
    <t xml:space="preserve">SPITY-003: Login/register pages</t>
  </si>
  <si>
    <t xml:space="preserve">https://linear.app/spitywa/issue/SPI-7/spity-003-loginregister-pages</t>
  </si>
  <si>
    <t xml:space="preserve">SPI-8</t>
  </si>
  <si>
    <t xml:space="preserve">SPITY-004: Docker compose Next+MariaDB+phpMyAdmin</t>
  </si>
  <si>
    <t xml:space="preserve">https://linear.app/spitywa/issue/SPI-8/spity-004-docker-compose-nextmariadbphpmyadmin</t>
  </si>
  <si>
    <t xml:space="preserve">SPI-9</t>
  </si>
  <si>
    <t xml:space="preserve">SPITY-005: Drizzle schema initial</t>
  </si>
  <si>
    <t xml:space="preserve">https://linear.app/spitywa/issue/SPI-9/spity-005-drizzle-schema-initial</t>
  </si>
  <si>
    <t xml:space="preserve">SPI-10</t>
  </si>
  <si>
    <t xml:space="preserve">Medium</t>
  </si>
  <si>
    <t xml:space="preserve">SPITY-006: GitHub Actions CI/CD</t>
  </si>
  <si>
    <t xml:space="preserve">https://linear.app/spitywa/issue/SPI-10/spity-006-github-actions-cicd</t>
  </si>
  <si>
    <t xml:space="preserve">SPI-11</t>
  </si>
  <si>
    <t xml:space="preserve">SPITY-007: CRUD profil grimpeur (disciplines, niveaux, matos)</t>
  </si>
  <si>
    <t xml:space="preserve">https://linear.app/spitywa/issue/SPI-11/spity-007-crud-profil-grimpeur-disciplines-niveaux-matos</t>
  </si>
  <si>
    <t xml:space="preserve">SPI-12</t>
  </si>
  <si>
    <t xml:space="preserve">Backlog</t>
  </si>
  <si>
    <t xml:space="preserve">SPITY-008: CRUD profil club (coachs, validation)</t>
  </si>
  <si>
    <t xml:space="preserve">https://linear.app/spitywa/issue/SPI-12/spity-008-crud-profil-club-coachs-validation</t>
  </si>
  <si>
    <t xml:space="preserve">SPI-13</t>
  </si>
  <si>
    <t xml:space="preserve">SPITY-009: Page profil grimpeur + édition</t>
  </si>
  <si>
    <t xml:space="preserve">https://linear.app/spitywa/issue/SPI-13/spity-009-page-profil-grimpeur-edition</t>
  </si>
  <si>
    <t xml:space="preserve">SPI-14</t>
  </si>
  <si>
    <t xml:space="preserve">SPITY-010: Page profil club</t>
  </si>
  <si>
    <t xml:space="preserve">https://linear.app/spitywa/issue/SPI-14/spity-010-page-profil-club</t>
  </si>
  <si>
    <t xml:space="preserve">SPI-15</t>
  </si>
  <si>
    <t xml:space="preserve">SPITY-011: CRUD Post (texte, media, tags, cotation)</t>
  </si>
  <si>
    <t xml:space="preserve">https://linear.app/spitywa/issue/SPI-15/spity-011-crud-post-texte-media-tags-cotation</t>
  </si>
  <si>
    <t xml:space="preserve">SPI-16</t>
  </si>
  <si>
    <t xml:space="preserve">SPITY-012: Likes + commentaires</t>
  </si>
  <si>
    <t xml:space="preserve">https://linear.app/spitywa/issue/SPI-16/spity-012-likes-commentaires</t>
  </si>
  <si>
    <t xml:space="preserve">SPI-17</t>
  </si>
  <si>
    <t xml:space="preserve">SPITY-013: Feed principal (posts + events épinglés)</t>
  </si>
  <si>
    <t xml:space="preserve">https://linear.app/spitywa/issue/SPI-17/spity-013-feed-principal-posts-events-epingles</t>
  </si>
  <si>
    <t xml:space="preserve">SPI-18</t>
  </si>
  <si>
    <t xml:space="preserve">SPITY-014: Create post + upload images</t>
  </si>
  <si>
    <t xml:space="preserve">https://linear.app/spitywa/issue/SPI-18/spity-014-create-post-upload-images</t>
  </si>
  <si>
    <t xml:space="preserve">SPI-19</t>
  </si>
  <si>
    <t xml:space="preserve">SPITY-015: Modèles Salle/Falaise (géoloc)</t>
  </si>
  <si>
    <t xml:space="preserve">https://linear.app/spitywa/issue/SPI-19/spity-015-modeles-sallefalaise-geoloc</t>
  </si>
  <si>
    <t xml:space="preserve">SPI-20</t>
  </si>
  <si>
    <t xml:space="preserve">SPITY-016: Modèle Voie + topos (cotation, état)</t>
  </si>
  <si>
    <t xml:space="preserve">https://linear.app/spitywa/issue/SPI-20/spity-016-modele-voie-topos-cotation-etat</t>
  </si>
  <si>
    <t xml:space="preserve">SPI-21</t>
  </si>
  <si>
    <t xml:space="preserve">SPITY-017: Carte interactive salles/falaises/clubs</t>
  </si>
  <si>
    <t xml:space="preserve">https://linear.app/spitywa/issue/SPI-21/spity-017-carte-interactive-sallesfalaisesclubs</t>
  </si>
  <si>
    <t xml:space="preserve">SPI-22</t>
  </si>
  <si>
    <t xml:space="preserve">SPITY-018: Fiche falaise + topos collaboratifs</t>
  </si>
  <si>
    <t xml:space="preserve">https://linear.app/spitywa/issue/SPI-22/spity-018-fiche-falaise-topos-collaboratifs</t>
  </si>
  <si>
    <t xml:space="preserve">SPI-23</t>
  </si>
  <si>
    <t xml:space="preserve">SPITY-019: CRUD Event club (inscriptions, capacité)</t>
  </si>
  <si>
    <t xml:space="preserve">https://linear.app/spitywa/issue/SPI-23/spity-019-crud-event-club-inscriptions-capacite</t>
  </si>
  <si>
    <t xml:space="preserve">SPI-24</t>
  </si>
  <si>
    <t xml:space="preserve">SPITY-020: Club dashboard (stats, events)</t>
  </si>
  <si>
    <t xml:space="preserve">https://linear.app/spitywa/issue/SPI-24/spity-020-club-dashboard-stats-events</t>
  </si>
  <si>
    <t xml:space="preserve">SPI-25</t>
  </si>
  <si>
    <t xml:space="preserve">SPITY-021: Calendrier events + inscription</t>
  </si>
  <si>
    <t xml:space="preserve">https://linear.app/spitywa/issue/SPI-25/spity-021-calendrier-events-inscription</t>
  </si>
  <si>
    <t xml:space="preserve">SPI-26</t>
  </si>
  <si>
    <t xml:space="preserve">SPITY-022: Club dashboard</t>
  </si>
  <si>
    <t xml:space="preserve">https://linear.app/spitywa/issue/SPI-26/spity-022-club-dashboard</t>
  </si>
  <si>
    <t xml:space="preserve">SPI-27</t>
  </si>
  <si>
    <t xml:space="preserve">In Progress</t>
  </si>
  <si>
    <t xml:space="preserve">SPITY-023: Upload media sécurisé</t>
  </si>
  <si>
    <t xml:space="preserve">https://linear.app/spitywa/issue/SPI-27/spity-023-upload-media-securise</t>
  </si>
  <si>
    <t xml:space="preserve">SPI-28</t>
  </si>
  <si>
    <t xml:space="preserve">Low</t>
  </si>
  <si>
    <t xml:space="preserve">SPITY-024: Tests unitaires critiques (auth, posts)</t>
  </si>
  <si>
    <t xml:space="preserve">https://linear.app/spitywa/issue/SPI-28/spity-024-tests-unitaires-critiques-auth-posts</t>
  </si>
  <si>
    <t xml:space="preserve">SPI-29</t>
  </si>
  <si>
    <t xml:space="preserve">SPITY-025: Sécurité OWASP + accessibilité RGAA</t>
  </si>
  <si>
    <t xml:space="preserve">https://linear.app/spitywa/issue/SPI-29/spity-025-securite-owasp-accessibilite-rgaa</t>
  </si>
  <si>
    <t xml:space="preserve">Indicateur</t>
  </si>
  <si>
    <t xml:space="preserve">Valeur</t>
  </si>
  <si>
    <t xml:space="preserve">Unité / limite</t>
  </si>
  <si>
    <t xml:space="preserve">Tickets observés</t>
  </si>
  <si>
    <t xml:space="preserve">Relevé du 14/09</t>
  </si>
  <si>
    <t xml:space="preserve">Annulés</t>
  </si>
  <si>
    <t xml:space="preserve">Exclus du dénominateur</t>
  </si>
  <si>
    <t xml:space="preserve">Non annulés</t>
  </si>
  <si>
    <t xml:space="preserve">Tickets, sans pondération</t>
  </si>
  <si>
    <t xml:space="preserve">Terminés</t>
  </si>
  <si>
    <t xml:space="preserve">Statut historique</t>
  </si>
  <si>
    <t xml:space="preserve">Part terminée</t>
  </si>
  <si>
    <t xml:space="preserve">Décompte ; ne mesure pas la livraison du produit</t>
  </si>
  <si>
    <t xml:space="preserve">Médiane avant</t>
  </si>
  <si>
    <t xml:space="preserve">ms ; protocole local</t>
  </si>
  <si>
    <t xml:space="preserve">Médiane après</t>
  </si>
  <si>
    <t xml:space="preserve">Lot / poste</t>
  </si>
  <si>
    <t xml:space="preserve">j-h estimés</t>
  </si>
  <si>
    <t xml:space="preserve">Taux €/j-h</t>
  </si>
  <si>
    <t xml:space="preserve">Montant €</t>
  </si>
  <si>
    <t xml:space="preserve">Nature</t>
  </si>
  <si>
    <t xml:space="preserve">Cadrage, UX, backlog</t>
  </si>
  <si>
    <t xml:space="preserve">Estimation B1</t>
  </si>
  <si>
    <t xml:space="preserve">Setup technique</t>
  </si>
  <si>
    <t xml:space="preserve">Auth et sécurité de base</t>
  </si>
  <si>
    <t xml:space="preserve">Profils grimpeur/club</t>
  </si>
  <si>
    <t xml:space="preserve">Feed social</t>
  </si>
  <si>
    <t xml:space="preserve">Répertoire géolocalisé</t>
  </si>
  <si>
    <t xml:space="preserve">Topos collaboratifs</t>
  </si>
  <si>
    <t xml:space="preserve">Événements clubs</t>
  </si>
  <si>
    <t xml:space="preserve">Tests, accessibilité, documentation</t>
  </si>
  <si>
    <t xml:space="preserve">Total développement</t>
  </si>
  <si>
    <t xml:space="preserve">Prévision, pas dépense réelle</t>
  </si>
  <si>
    <t xml:space="preserve">Infrastructure annuelle</t>
  </si>
  <si>
    <t xml:space="preserve">Médias et cartographie</t>
  </si>
  <si>
    <t xml:space="preserve">Nom de domaine et email</t>
  </si>
  <si>
    <t xml:space="preserve">Sécurité et conformité</t>
  </si>
  <si>
    <t xml:space="preserve">Tests et recette</t>
  </si>
  <si>
    <t xml:space="preserve">TOTAL B1</t>
  </si>
  <si>
    <t xml:space="preserve">Aucune convention HT ajoutée</t>
  </si>
  <si>
    <t xml:space="preserve">Temps réellement consommé</t>
  </si>
  <si>
    <t xml:space="preserve">Non fourni : cellule vide, pas zéro</t>
  </si>
  <si>
    <t xml:space="preserve">Coûts réellement consommés</t>
  </si>
  <si>
    <t xml:space="preserve">Non fournis : aucun écart calculé</t>
  </si>
  <si>
    <t xml:space="preserve">Parcours</t>
  </si>
  <si>
    <t xml:space="preserve">Avant (ms)</t>
  </si>
  <si>
    <t xml:space="preserve">Après (ms)</t>
  </si>
  <si>
    <t xml:space="preserve">Écart (ms)</t>
  </si>
  <si>
    <t xml:space="preserve">Protocole</t>
  </si>
  <si>
    <t xml:space="preserve">Partenaires</t>
  </si>
  <si>
    <t xml:space="preserve">Build de production local ; Chromium, CPU ×4, latence 100 ms, débit 1 000 000 octets/s, un passage par parcours. Aucune mesure de performance en production.</t>
  </si>
  <si>
    <t xml:space="preserve">Événements</t>
  </si>
  <si>
    <t xml:space="preserve">Demandes</t>
  </si>
  <si>
    <t xml:space="preserve">Profil</t>
  </si>
  <si>
    <t xml:space="preserve">Feed</t>
  </si>
  <si>
    <t xml:space="preserve">Persona fictif</t>
  </si>
  <si>
    <t xml:space="preserve">Retour inventé</t>
  </si>
  <si>
    <t xml:space="preserve">Réponse pédagogique</t>
  </si>
  <si>
    <t xml:space="preserve">Critère</t>
  </si>
  <si>
    <t xml:space="preserve">Réalisation réelle</t>
  </si>
  <si>
    <t xml:space="preserve">SIM-01</t>
  </si>
  <si>
    <t xml:space="preserve">Grimpeur (persona fictif)</t>
  </si>
  <si>
    <t xml:space="preserve">Je veux filtrer les partenaires selon la discipline que je pratique et comprendre l’état de ma demande.</t>
  </si>
  <si>
    <t xml:space="preserve">Montrer les filtres et les états ; vérifier la cohérence du niveau avec la discipline.</t>
  </si>
  <si>
    <t xml:space="preserve">Résultats cohérents et statut de demande lisible.</t>
  </si>
  <si>
    <t xml:space="preserve">363f681</t>
  </si>
  <si>
    <t xml:space="preserve">SIM-02</t>
  </si>
  <si>
    <t xml:space="preserve">Responsable de club (persona fictif)</t>
  </si>
  <si>
    <t xml:space="preserve">Je dois retrouver les inscrits et savoir s’il reste des places pour ma sortie.</t>
  </si>
  <si>
    <t xml:space="preserve">Présenter la capacité et la liste des participants avec une session club.</t>
  </si>
  <si>
    <t xml:space="preserve">Liste autorisée, inscription confirmée et capacité respectée.</t>
  </si>
  <si>
    <t xml:space="preserve">SIM-03</t>
  </si>
  <si>
    <t xml:space="preserve">Après un clic dans le menu, je veux savoir que ma navigation est en cours.</t>
  </si>
  <si>
    <t xml:space="preserve">Montrer l’indicateur d’attente et la correction du fond décoratif.</t>
  </si>
  <si>
    <t xml:space="preserve">Attente visible puis disparition à l’arrivée sur la page.</t>
  </si>
  <si>
    <t xml:space="preserve">83e4c29</t>
  </si>
  <si>
    <t xml:space="preserve">PÉRIMÈTRE</t>
  </si>
  <si>
    <t xml:space="preserve">SIMULATION</t>
  </si>
  <si>
    <t xml:space="preserve">Exemple de suivi annuel ; aucun consommé réel</t>
  </si>
  <si>
    <t xml:space="preserve">Charge initiale</t>
  </si>
  <si>
    <t xml:space="preserve">j-h ; référence B1</t>
  </si>
  <si>
    <t xml:space="preserve">Consommé simulé</t>
  </si>
  <si>
    <t xml:space="preserve">j-h ; hypothèse pédagogique</t>
  </si>
  <si>
    <t xml:space="preserve">Reste à faire simulé</t>
  </si>
  <si>
    <t xml:space="preserve">Prévision</t>
  </si>
  <si>
    <t xml:space="preserve">j-h</t>
  </si>
  <si>
    <t xml:space="preserve">Taux valorisé</t>
  </si>
  <si>
    <t xml:space="preserve">€/j-h ; estimation B1</t>
  </si>
  <si>
    <t xml:space="preserve">Autres postes</t>
  </si>
  <si>
    <t xml:space="preserve">€ ; estimation B1</t>
  </si>
  <si>
    <t xml:space="preserve">Budget initial</t>
  </si>
  <si>
    <t xml:space="preserve">€</t>
  </si>
  <si>
    <t xml:space="preserve">Prévision coût</t>
  </si>
  <si>
    <t xml:space="preserve">Écart</t>
  </si>
  <si>
    <t xml:space="preserve">Écart relatif</t>
  </si>
  <si>
    <t xml:space="preserve">Proportion</t>
  </si>
  <si>
    <t xml:space="preserve">Livraison initiale</t>
  </si>
  <si>
    <t xml:space="preserve">Mois relatif simulé</t>
  </si>
  <si>
    <t xml:space="preserve">Livraison révisée</t>
  </si>
  <si>
    <t xml:space="preserve">Décalage</t>
  </si>
  <si>
    <t xml:space="preserve">Mois</t>
  </si>
  <si>
    <t xml:space="preserve">Capacité mensuelle hypothétique</t>
  </si>
  <si>
    <t xml:space="preserve">Charge prochaine période</t>
  </si>
  <si>
    <t xml:space="preserve">Taux de charge</t>
  </si>
  <si>
    <t xml:space="preserve">Proportion ; alerte &gt; 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</si>
</sst>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12332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2332D"/>
        <bgColor rgb="FF333333"/>
      </patternFill>
    </fill>
    <fill>
      <patternFill patternType="solid">
        <fgColor rgb="FFEBEFE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2332D"/>
          <bgColor rgb="FF000000"/>
        </patternFill>
      </fill>
    </dxf>
    <dxf>
      <fill>
        <patternFill patternType="solid">
          <fgColor rgb="FFEBEF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EF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2332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43.5" hidden="false" customHeight="true" outlineLevel="0" collapsed="false">
      <c r="A2" s="2" t="s">
        <v>2</v>
      </c>
      <c r="B2" s="2" t="s">
        <v>3</v>
      </c>
    </row>
    <row r="3" customFormat="false" ht="43.5" hidden="false" customHeight="true" outlineLevel="0" collapsed="false">
      <c r="A3" s="3" t="s">
        <v>4</v>
      </c>
      <c r="B3" s="3" t="s">
        <v>5</v>
      </c>
    </row>
    <row r="4" customFormat="false" ht="43.5" hidden="false" customHeight="true" outlineLevel="0" collapsed="false">
      <c r="A4" s="2" t="s">
        <v>6</v>
      </c>
      <c r="B4" s="2" t="s">
        <v>7</v>
      </c>
    </row>
    <row r="5" customFormat="false" ht="43.5" hidden="false" customHeight="true" outlineLevel="0" collapsed="false">
      <c r="A5" s="3" t="s">
        <v>8</v>
      </c>
      <c r="B5" s="3" t="s">
        <v>9</v>
      </c>
    </row>
    <row r="6" customFormat="false" ht="43.5" hidden="false" customHeight="true" outlineLevel="0" collapsed="false">
      <c r="A6" s="2" t="s">
        <v>10</v>
      </c>
      <c r="B6" s="2" t="s">
        <v>11</v>
      </c>
    </row>
    <row r="7" customFormat="false" ht="43.5" hidden="false" customHeight="true" outlineLevel="0" collapsed="false">
      <c r="A7" s="3" t="s">
        <v>12</v>
      </c>
      <c r="B7" s="3" t="s">
        <v>13</v>
      </c>
    </row>
    <row r="8" customFormat="false" ht="43.5" hidden="false" customHeight="true" outlineLevel="0" collapsed="false">
      <c r="A8" s="2" t="s">
        <v>14</v>
      </c>
      <c r="B8" s="2" t="s">
        <v>15</v>
      </c>
    </row>
  </sheetData>
  <autoFilter ref="A1:B8"/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8"/>
    <col collapsed="false" customWidth="true" hidden="false" outlineLevel="0" max="3" min="3" style="0" width="45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16</v>
      </c>
      <c r="B1" s="1" t="s">
        <v>17</v>
      </c>
      <c r="C1" s="1" t="s">
        <v>18</v>
      </c>
      <c r="D1" s="1" t="s">
        <v>19</v>
      </c>
    </row>
    <row r="2" customFormat="false" ht="43.5" hidden="false" customHeight="true" outlineLevel="0" collapsed="false">
      <c r="A2" s="2" t="s">
        <v>20</v>
      </c>
      <c r="B2" s="2" t="s">
        <v>21</v>
      </c>
      <c r="C2" s="2" t="s">
        <v>22</v>
      </c>
      <c r="D2" s="2" t="s">
        <v>23</v>
      </c>
    </row>
    <row r="3" customFormat="false" ht="43.5" hidden="false" customHeight="true" outlineLevel="0" collapsed="false">
      <c r="A3" s="3" t="s">
        <v>24</v>
      </c>
      <c r="B3" s="3" t="s">
        <v>25</v>
      </c>
      <c r="C3" s="3" t="s">
        <v>26</v>
      </c>
      <c r="D3" s="3" t="s">
        <v>23</v>
      </c>
    </row>
    <row r="4" customFormat="false" ht="43.5" hidden="false" customHeight="true" outlineLevel="0" collapsed="false">
      <c r="A4" s="2" t="s">
        <v>24</v>
      </c>
      <c r="B4" s="2" t="s">
        <v>27</v>
      </c>
      <c r="C4" s="2" t="s">
        <v>28</v>
      </c>
      <c r="D4" s="2" t="s">
        <v>23</v>
      </c>
    </row>
    <row r="5" customFormat="false" ht="43.5" hidden="false" customHeight="true" outlineLevel="0" collapsed="false">
      <c r="A5" s="3" t="s">
        <v>29</v>
      </c>
      <c r="B5" s="3" t="s">
        <v>30</v>
      </c>
      <c r="C5" s="3" t="s">
        <v>31</v>
      </c>
      <c r="D5" s="3" t="s">
        <v>23</v>
      </c>
    </row>
    <row r="6" customFormat="false" ht="43.5" hidden="false" customHeight="true" outlineLevel="0" collapsed="false">
      <c r="A6" s="2" t="s">
        <v>32</v>
      </c>
      <c r="B6" s="2" t="s">
        <v>33</v>
      </c>
      <c r="C6" s="2" t="s">
        <v>34</v>
      </c>
      <c r="D6" s="2" t="s">
        <v>23</v>
      </c>
    </row>
    <row r="7" customFormat="false" ht="43.5" hidden="false" customHeight="true" outlineLevel="0" collapsed="false">
      <c r="A7" s="3" t="s">
        <v>32</v>
      </c>
      <c r="B7" s="3" t="s">
        <v>35</v>
      </c>
      <c r="C7" s="3" t="s">
        <v>36</v>
      </c>
      <c r="D7" s="3" t="s">
        <v>23</v>
      </c>
    </row>
    <row r="8" customFormat="false" ht="43.5" hidden="false" customHeight="true" outlineLevel="0" collapsed="false">
      <c r="A8" s="2" t="s">
        <v>37</v>
      </c>
      <c r="B8" s="2" t="s">
        <v>38</v>
      </c>
      <c r="C8" s="2" t="s">
        <v>39</v>
      </c>
      <c r="D8" s="2" t="s">
        <v>23</v>
      </c>
    </row>
    <row r="9" customFormat="false" ht="43.5" hidden="false" customHeight="true" outlineLevel="0" collapsed="false">
      <c r="A9" s="3" t="s">
        <v>40</v>
      </c>
      <c r="B9" s="3" t="s">
        <v>41</v>
      </c>
      <c r="C9" s="3" t="s">
        <v>42</v>
      </c>
      <c r="D9" s="3" t="s">
        <v>23</v>
      </c>
    </row>
    <row r="10" customFormat="false" ht="43.5" hidden="false" customHeight="true" outlineLevel="0" collapsed="false">
      <c r="A10" s="2" t="s">
        <v>40</v>
      </c>
      <c r="B10" s="2" t="s">
        <v>43</v>
      </c>
      <c r="C10" s="2" t="s">
        <v>44</v>
      </c>
      <c r="D10" s="2" t="s">
        <v>23</v>
      </c>
    </row>
    <row r="11" customFormat="false" ht="43.5" hidden="false" customHeight="true" outlineLevel="0" collapsed="false">
      <c r="A11" s="3" t="s">
        <v>45</v>
      </c>
      <c r="B11" s="3" t="s">
        <v>46</v>
      </c>
      <c r="C11" s="3" t="s">
        <v>47</v>
      </c>
      <c r="D11" s="3" t="s">
        <v>23</v>
      </c>
    </row>
    <row r="12" customFormat="false" ht="43.5" hidden="false" customHeight="true" outlineLevel="0" collapsed="false">
      <c r="A12" s="2" t="s">
        <v>45</v>
      </c>
      <c r="B12" s="2" t="s">
        <v>48</v>
      </c>
      <c r="C12" s="2" t="s">
        <v>49</v>
      </c>
      <c r="D12" s="2" t="s">
        <v>23</v>
      </c>
    </row>
    <row r="13" customFormat="false" ht="43.5" hidden="false" customHeight="true" outlineLevel="0" collapsed="false">
      <c r="A13" s="3" t="s">
        <v>50</v>
      </c>
      <c r="B13" s="3" t="s">
        <v>51</v>
      </c>
      <c r="C13" s="3" t="s">
        <v>52</v>
      </c>
      <c r="D13" s="3" t="s">
        <v>23</v>
      </c>
    </row>
    <row r="14" customFormat="false" ht="43.5" hidden="false" customHeight="true" outlineLevel="0" collapsed="false">
      <c r="A14" s="2" t="s">
        <v>50</v>
      </c>
      <c r="B14" s="2" t="s">
        <v>53</v>
      </c>
      <c r="C14" s="2" t="s">
        <v>54</v>
      </c>
      <c r="D14" s="2" t="s">
        <v>23</v>
      </c>
    </row>
    <row r="15" customFormat="false" ht="43.5" hidden="false" customHeight="true" outlineLevel="0" collapsed="false">
      <c r="A15" s="3" t="s">
        <v>55</v>
      </c>
      <c r="B15" s="3" t="s">
        <v>56</v>
      </c>
      <c r="C15" s="3" t="s">
        <v>57</v>
      </c>
      <c r="D15" s="3" t="s">
        <v>23</v>
      </c>
    </row>
    <row r="16" customFormat="false" ht="43.5" hidden="false" customHeight="true" outlineLevel="0" collapsed="false">
      <c r="A16" s="2" t="s">
        <v>55</v>
      </c>
      <c r="B16" s="2" t="s">
        <v>58</v>
      </c>
      <c r="C16" s="2" t="s">
        <v>59</v>
      </c>
      <c r="D16" s="2" t="s">
        <v>23</v>
      </c>
    </row>
    <row r="17" customFormat="false" ht="43.5" hidden="false" customHeight="true" outlineLevel="0" collapsed="false">
      <c r="A17" s="3" t="s">
        <v>55</v>
      </c>
      <c r="B17" s="3" t="s">
        <v>60</v>
      </c>
      <c r="C17" s="3" t="s">
        <v>61</v>
      </c>
      <c r="D17" s="3" t="s">
        <v>23</v>
      </c>
    </row>
  </sheetData>
  <autoFilter ref="A1:D17"/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4" min="4" style="0" width="72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</row>
    <row r="2" customFormat="false" ht="43.5" hidden="false" customHeight="true" outlineLevel="0" collapsed="false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</row>
    <row r="3" customFormat="false" ht="43.5" hidden="false" customHeight="true" outlineLevel="0" collapsed="false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</row>
    <row r="4" customFormat="false" ht="43.5" hidden="false" customHeight="true" outlineLevel="0" collapsed="false">
      <c r="A4" s="2" t="s">
        <v>77</v>
      </c>
      <c r="B4" s="2" t="s">
        <v>78</v>
      </c>
      <c r="C4" s="2" t="s">
        <v>74</v>
      </c>
      <c r="D4" s="2" t="s">
        <v>79</v>
      </c>
      <c r="E4" s="2" t="s">
        <v>80</v>
      </c>
    </row>
    <row r="5" customFormat="false" ht="43.5" hidden="false" customHeight="true" outlineLevel="0" collapsed="false">
      <c r="A5" s="3" t="s">
        <v>81</v>
      </c>
      <c r="B5" s="3" t="s">
        <v>78</v>
      </c>
      <c r="C5" s="3" t="s">
        <v>69</v>
      </c>
      <c r="D5" s="3" t="s">
        <v>82</v>
      </c>
      <c r="E5" s="3" t="s">
        <v>83</v>
      </c>
    </row>
    <row r="6" customFormat="false" ht="43.5" hidden="false" customHeight="true" outlineLevel="0" collapsed="false">
      <c r="A6" s="2" t="s">
        <v>84</v>
      </c>
      <c r="B6" s="2" t="s">
        <v>78</v>
      </c>
      <c r="C6" s="2" t="s">
        <v>69</v>
      </c>
      <c r="D6" s="2" t="s">
        <v>85</v>
      </c>
      <c r="E6" s="2" t="s">
        <v>86</v>
      </c>
    </row>
    <row r="7" customFormat="false" ht="43.5" hidden="false" customHeight="true" outlineLevel="0" collapsed="false">
      <c r="A7" s="3" t="s">
        <v>87</v>
      </c>
      <c r="B7" s="3" t="s">
        <v>78</v>
      </c>
      <c r="C7" s="3" t="s">
        <v>88</v>
      </c>
      <c r="D7" s="3" t="s">
        <v>89</v>
      </c>
      <c r="E7" s="3" t="s">
        <v>90</v>
      </c>
    </row>
    <row r="8" customFormat="false" ht="43.5" hidden="false" customHeight="true" outlineLevel="0" collapsed="false">
      <c r="A8" s="2" t="s">
        <v>91</v>
      </c>
      <c r="B8" s="2" t="s">
        <v>73</v>
      </c>
      <c r="C8" s="2" t="s">
        <v>74</v>
      </c>
      <c r="D8" s="2" t="s">
        <v>92</v>
      </c>
      <c r="E8" s="2" t="s">
        <v>93</v>
      </c>
    </row>
    <row r="9" customFormat="false" ht="43.5" hidden="false" customHeight="true" outlineLevel="0" collapsed="false">
      <c r="A9" s="3" t="s">
        <v>94</v>
      </c>
      <c r="B9" s="3" t="s">
        <v>95</v>
      </c>
      <c r="C9" s="3" t="s">
        <v>88</v>
      </c>
      <c r="D9" s="3" t="s">
        <v>96</v>
      </c>
      <c r="E9" s="3" t="s">
        <v>97</v>
      </c>
    </row>
    <row r="10" customFormat="false" ht="43.5" hidden="false" customHeight="true" outlineLevel="0" collapsed="false">
      <c r="A10" s="2" t="s">
        <v>98</v>
      </c>
      <c r="B10" s="2" t="s">
        <v>78</v>
      </c>
      <c r="C10" s="2" t="s">
        <v>74</v>
      </c>
      <c r="D10" s="2" t="s">
        <v>99</v>
      </c>
      <c r="E10" s="2" t="s">
        <v>100</v>
      </c>
    </row>
    <row r="11" customFormat="false" ht="43.5" hidden="false" customHeight="true" outlineLevel="0" collapsed="false">
      <c r="A11" s="3" t="s">
        <v>101</v>
      </c>
      <c r="B11" s="3" t="s">
        <v>78</v>
      </c>
      <c r="C11" s="3" t="s">
        <v>88</v>
      </c>
      <c r="D11" s="3" t="s">
        <v>102</v>
      </c>
      <c r="E11" s="3" t="s">
        <v>103</v>
      </c>
    </row>
    <row r="12" customFormat="false" ht="43.5" hidden="false" customHeight="true" outlineLevel="0" collapsed="false">
      <c r="A12" s="2" t="s">
        <v>104</v>
      </c>
      <c r="B12" s="2" t="s">
        <v>73</v>
      </c>
      <c r="C12" s="2" t="s">
        <v>74</v>
      </c>
      <c r="D12" s="2" t="s">
        <v>105</v>
      </c>
      <c r="E12" s="2" t="s">
        <v>106</v>
      </c>
    </row>
    <row r="13" customFormat="false" ht="43.5" hidden="false" customHeight="true" outlineLevel="0" collapsed="false">
      <c r="A13" s="3" t="s">
        <v>107</v>
      </c>
      <c r="B13" s="3" t="s">
        <v>95</v>
      </c>
      <c r="C13" s="3" t="s">
        <v>88</v>
      </c>
      <c r="D13" s="3" t="s">
        <v>108</v>
      </c>
      <c r="E13" s="3" t="s">
        <v>109</v>
      </c>
    </row>
    <row r="14" customFormat="false" ht="43.5" hidden="false" customHeight="true" outlineLevel="0" collapsed="false">
      <c r="A14" s="2" t="s">
        <v>110</v>
      </c>
      <c r="B14" s="2" t="s">
        <v>95</v>
      </c>
      <c r="C14" s="2" t="s">
        <v>74</v>
      </c>
      <c r="D14" s="2" t="s">
        <v>111</v>
      </c>
      <c r="E14" s="2" t="s">
        <v>112</v>
      </c>
    </row>
    <row r="15" customFormat="false" ht="43.5" hidden="false" customHeight="true" outlineLevel="0" collapsed="false">
      <c r="A15" s="3" t="s">
        <v>113</v>
      </c>
      <c r="B15" s="3" t="s">
        <v>73</v>
      </c>
      <c r="C15" s="3" t="s">
        <v>74</v>
      </c>
      <c r="D15" s="3" t="s">
        <v>114</v>
      </c>
      <c r="E15" s="3" t="s">
        <v>115</v>
      </c>
    </row>
    <row r="16" customFormat="false" ht="43.5" hidden="false" customHeight="true" outlineLevel="0" collapsed="false">
      <c r="A16" s="2" t="s">
        <v>116</v>
      </c>
      <c r="B16" s="2" t="s">
        <v>95</v>
      </c>
      <c r="C16" s="2" t="s">
        <v>74</v>
      </c>
      <c r="D16" s="2" t="s">
        <v>117</v>
      </c>
      <c r="E16" s="2" t="s">
        <v>118</v>
      </c>
    </row>
    <row r="17" customFormat="false" ht="43.5" hidden="false" customHeight="true" outlineLevel="0" collapsed="false">
      <c r="A17" s="3" t="s">
        <v>119</v>
      </c>
      <c r="B17" s="3" t="s">
        <v>78</v>
      </c>
      <c r="C17" s="3" t="s">
        <v>88</v>
      </c>
      <c r="D17" s="3" t="s">
        <v>120</v>
      </c>
      <c r="E17" s="3" t="s">
        <v>121</v>
      </c>
    </row>
    <row r="18" customFormat="false" ht="43.5" hidden="false" customHeight="true" outlineLevel="0" collapsed="false">
      <c r="A18" s="2" t="s">
        <v>122</v>
      </c>
      <c r="B18" s="2" t="s">
        <v>95</v>
      </c>
      <c r="C18" s="2" t="s">
        <v>88</v>
      </c>
      <c r="D18" s="2" t="s">
        <v>123</v>
      </c>
      <c r="E18" s="2" t="s">
        <v>124</v>
      </c>
    </row>
    <row r="19" customFormat="false" ht="43.5" hidden="false" customHeight="true" outlineLevel="0" collapsed="false">
      <c r="A19" s="3" t="s">
        <v>125</v>
      </c>
      <c r="B19" s="3" t="s">
        <v>95</v>
      </c>
      <c r="C19" s="3" t="s">
        <v>88</v>
      </c>
      <c r="D19" s="3" t="s">
        <v>126</v>
      </c>
      <c r="E19" s="3" t="s">
        <v>127</v>
      </c>
    </row>
    <row r="20" customFormat="false" ht="43.5" hidden="false" customHeight="true" outlineLevel="0" collapsed="false">
      <c r="A20" s="2" t="s">
        <v>128</v>
      </c>
      <c r="B20" s="2" t="s">
        <v>78</v>
      </c>
      <c r="C20" s="2" t="s">
        <v>88</v>
      </c>
      <c r="D20" s="2" t="s">
        <v>129</v>
      </c>
      <c r="E20" s="2" t="s">
        <v>130</v>
      </c>
    </row>
    <row r="21" customFormat="false" ht="43.5" hidden="false" customHeight="true" outlineLevel="0" collapsed="false">
      <c r="A21" s="3" t="s">
        <v>131</v>
      </c>
      <c r="B21" s="3" t="s">
        <v>95</v>
      </c>
      <c r="C21" s="3" t="s">
        <v>88</v>
      </c>
      <c r="D21" s="3" t="s">
        <v>132</v>
      </c>
      <c r="E21" s="3" t="s">
        <v>133</v>
      </c>
    </row>
    <row r="22" customFormat="false" ht="43.5" hidden="false" customHeight="true" outlineLevel="0" collapsed="false">
      <c r="A22" s="2" t="s">
        <v>134</v>
      </c>
      <c r="B22" s="2" t="s">
        <v>78</v>
      </c>
      <c r="C22" s="2" t="s">
        <v>88</v>
      </c>
      <c r="D22" s="2" t="s">
        <v>135</v>
      </c>
      <c r="E22" s="2" t="s">
        <v>136</v>
      </c>
    </row>
    <row r="23" customFormat="false" ht="43.5" hidden="false" customHeight="true" outlineLevel="0" collapsed="false">
      <c r="A23" s="3" t="s">
        <v>137</v>
      </c>
      <c r="B23" s="3" t="s">
        <v>78</v>
      </c>
      <c r="C23" s="3" t="s">
        <v>88</v>
      </c>
      <c r="D23" s="3" t="s">
        <v>138</v>
      </c>
      <c r="E23" s="3" t="s">
        <v>139</v>
      </c>
    </row>
    <row r="24" customFormat="false" ht="43.5" hidden="false" customHeight="true" outlineLevel="0" collapsed="false">
      <c r="A24" s="2" t="s">
        <v>140</v>
      </c>
      <c r="B24" s="2" t="s">
        <v>141</v>
      </c>
      <c r="C24" s="2" t="s">
        <v>74</v>
      </c>
      <c r="D24" s="2" t="s">
        <v>142</v>
      </c>
      <c r="E24" s="2" t="s">
        <v>143</v>
      </c>
    </row>
    <row r="25" customFormat="false" ht="43.5" hidden="false" customHeight="true" outlineLevel="0" collapsed="false">
      <c r="A25" s="3" t="s">
        <v>144</v>
      </c>
      <c r="B25" s="3" t="s">
        <v>78</v>
      </c>
      <c r="C25" s="3" t="s">
        <v>145</v>
      </c>
      <c r="D25" s="3" t="s">
        <v>146</v>
      </c>
      <c r="E25" s="3" t="s">
        <v>147</v>
      </c>
    </row>
    <row r="26" customFormat="false" ht="43.5" hidden="false" customHeight="true" outlineLevel="0" collapsed="false">
      <c r="A26" s="2" t="s">
        <v>148</v>
      </c>
      <c r="B26" s="2" t="s">
        <v>78</v>
      </c>
      <c r="C26" s="2" t="s">
        <v>145</v>
      </c>
      <c r="D26" s="2" t="s">
        <v>149</v>
      </c>
      <c r="E26" s="2" t="s">
        <v>150</v>
      </c>
    </row>
  </sheetData>
  <autoFilter ref="A1:E26"/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85"/>
  </cols>
  <sheetData>
    <row r="1" customFormat="false" ht="15" hidden="false" customHeight="false" outlineLevel="0" collapsed="false">
      <c r="A1" s="1" t="s">
        <v>151</v>
      </c>
      <c r="B1" s="1" t="s">
        <v>152</v>
      </c>
      <c r="C1" s="1" t="s">
        <v>153</v>
      </c>
    </row>
    <row r="2" customFormat="false" ht="43.5" hidden="false" customHeight="true" outlineLevel="0" collapsed="false">
      <c r="A2" s="2" t="s">
        <v>154</v>
      </c>
      <c r="B2" s="2" t="n">
        <f aca="false">COUNTA(Linear!A2:A26)</f>
        <v>25</v>
      </c>
      <c r="C2" s="2" t="s">
        <v>155</v>
      </c>
    </row>
    <row r="3" customFormat="false" ht="43.5" hidden="false" customHeight="true" outlineLevel="0" collapsed="false">
      <c r="A3" s="3" t="s">
        <v>156</v>
      </c>
      <c r="B3" s="3" t="n">
        <f aca="false">COUNTIF(Linear!B2:B26,"Canceled")</f>
        <v>1</v>
      </c>
      <c r="C3" s="3" t="s">
        <v>157</v>
      </c>
    </row>
    <row r="4" customFormat="false" ht="43.5" hidden="false" customHeight="true" outlineLevel="0" collapsed="false">
      <c r="A4" s="2" t="s">
        <v>158</v>
      </c>
      <c r="B4" s="2" t="n">
        <f aca="false">B2-B3</f>
        <v>24</v>
      </c>
      <c r="C4" s="2" t="s">
        <v>159</v>
      </c>
    </row>
    <row r="5" customFormat="false" ht="43.5" hidden="false" customHeight="true" outlineLevel="0" collapsed="false">
      <c r="A5" s="3" t="s">
        <v>160</v>
      </c>
      <c r="B5" s="3" t="n">
        <f aca="false">COUNTIF(Linear!B2:B26,"Done")</f>
        <v>12</v>
      </c>
      <c r="C5" s="3" t="s">
        <v>161</v>
      </c>
    </row>
    <row r="6" customFormat="false" ht="43.5" hidden="false" customHeight="true" outlineLevel="0" collapsed="false">
      <c r="A6" s="2" t="s">
        <v>162</v>
      </c>
      <c r="B6" s="4" t="n">
        <f aca="false">IF(B4=0,"",B5/B4)</f>
        <v>0.5</v>
      </c>
      <c r="C6" s="2" t="s">
        <v>163</v>
      </c>
    </row>
    <row r="7" customFormat="false" ht="43.5" hidden="false" customHeight="true" outlineLevel="0" collapsed="false">
      <c r="A7" s="3" t="s">
        <v>164</v>
      </c>
      <c r="B7" s="3" t="n">
        <f aca="false">MEDIAN(Navigation!B2:B6)</f>
        <v>10220</v>
      </c>
      <c r="C7" s="3" t="s">
        <v>165</v>
      </c>
    </row>
    <row r="8" customFormat="false" ht="43.5" hidden="false" customHeight="true" outlineLevel="0" collapsed="false">
      <c r="A8" s="2" t="s">
        <v>166</v>
      </c>
      <c r="B8" s="2" t="n">
        <f aca="false">MEDIAN(Navigation!C2:C6)</f>
        <v>748</v>
      </c>
      <c r="C8" s="2" t="s">
        <v>165</v>
      </c>
    </row>
  </sheetData>
  <autoFilter ref="A1:C8"/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</row>
    <row r="2" customFormat="false" ht="43.5" hidden="false" customHeight="true" outlineLevel="0" collapsed="false">
      <c r="A2" s="2" t="s">
        <v>172</v>
      </c>
      <c r="B2" s="2" t="n">
        <v>8</v>
      </c>
      <c r="C2" s="2" t="n">
        <v>450</v>
      </c>
      <c r="D2" s="5" t="n">
        <f aca="false">B2*C2</f>
        <v>3600</v>
      </c>
      <c r="E2" s="2" t="s">
        <v>173</v>
      </c>
    </row>
    <row r="3" customFormat="false" ht="43.5" hidden="false" customHeight="true" outlineLevel="0" collapsed="false">
      <c r="A3" s="3" t="s">
        <v>174</v>
      </c>
      <c r="B3" s="3" t="n">
        <v>6</v>
      </c>
      <c r="C3" s="3" t="n">
        <v>450</v>
      </c>
      <c r="D3" s="6" t="n">
        <f aca="false">B3*C3</f>
        <v>2700</v>
      </c>
      <c r="E3" s="3" t="s">
        <v>173</v>
      </c>
    </row>
    <row r="4" customFormat="false" ht="43.5" hidden="false" customHeight="true" outlineLevel="0" collapsed="false">
      <c r="A4" s="2" t="s">
        <v>175</v>
      </c>
      <c r="B4" s="2" t="n">
        <v>10</v>
      </c>
      <c r="C4" s="2" t="n">
        <v>450</v>
      </c>
      <c r="D4" s="5" t="n">
        <f aca="false">B4*C4</f>
        <v>4500</v>
      </c>
      <c r="E4" s="2" t="s">
        <v>173</v>
      </c>
    </row>
    <row r="5" customFormat="false" ht="43.5" hidden="false" customHeight="true" outlineLevel="0" collapsed="false">
      <c r="A5" s="3" t="s">
        <v>176</v>
      </c>
      <c r="B5" s="3" t="n">
        <v>9</v>
      </c>
      <c r="C5" s="3" t="n">
        <v>450</v>
      </c>
      <c r="D5" s="6" t="n">
        <f aca="false">B5*C5</f>
        <v>4050</v>
      </c>
      <c r="E5" s="3" t="s">
        <v>173</v>
      </c>
    </row>
    <row r="6" customFormat="false" ht="43.5" hidden="false" customHeight="true" outlineLevel="0" collapsed="false">
      <c r="A6" s="2" t="s">
        <v>177</v>
      </c>
      <c r="B6" s="2" t="n">
        <v>12</v>
      </c>
      <c r="C6" s="2" t="n">
        <v>450</v>
      </c>
      <c r="D6" s="5" t="n">
        <f aca="false">B6*C6</f>
        <v>5400</v>
      </c>
      <c r="E6" s="2" t="s">
        <v>173</v>
      </c>
    </row>
    <row r="7" customFormat="false" ht="43.5" hidden="false" customHeight="true" outlineLevel="0" collapsed="false">
      <c r="A7" s="3" t="s">
        <v>178</v>
      </c>
      <c r="B7" s="3" t="n">
        <v>10</v>
      </c>
      <c r="C7" s="3" t="n">
        <v>450</v>
      </c>
      <c r="D7" s="6" t="n">
        <f aca="false">B7*C7</f>
        <v>4500</v>
      </c>
      <c r="E7" s="3" t="s">
        <v>173</v>
      </c>
    </row>
    <row r="8" customFormat="false" ht="43.5" hidden="false" customHeight="true" outlineLevel="0" collapsed="false">
      <c r="A8" s="2" t="s">
        <v>179</v>
      </c>
      <c r="B8" s="2" t="n">
        <v>9</v>
      </c>
      <c r="C8" s="2" t="n">
        <v>450</v>
      </c>
      <c r="D8" s="5" t="n">
        <f aca="false">B8*C8</f>
        <v>4050</v>
      </c>
      <c r="E8" s="2" t="s">
        <v>173</v>
      </c>
    </row>
    <row r="9" customFormat="false" ht="43.5" hidden="false" customHeight="true" outlineLevel="0" collapsed="false">
      <c r="A9" s="3" t="s">
        <v>180</v>
      </c>
      <c r="B9" s="3" t="n">
        <v>8</v>
      </c>
      <c r="C9" s="3" t="n">
        <v>450</v>
      </c>
      <c r="D9" s="6" t="n">
        <f aca="false">B9*C9</f>
        <v>3600</v>
      </c>
      <c r="E9" s="3" t="s">
        <v>173</v>
      </c>
    </row>
    <row r="10" customFormat="false" ht="43.5" hidden="false" customHeight="true" outlineLevel="0" collapsed="false">
      <c r="A10" s="2" t="s">
        <v>181</v>
      </c>
      <c r="B10" s="2" t="n">
        <v>10</v>
      </c>
      <c r="C10" s="2" t="n">
        <v>450</v>
      </c>
      <c r="D10" s="5" t="n">
        <f aca="false">B10*C10</f>
        <v>4500</v>
      </c>
      <c r="E10" s="2" t="s">
        <v>173</v>
      </c>
    </row>
    <row r="11" customFormat="false" ht="43.5" hidden="false" customHeight="true" outlineLevel="0" collapsed="false">
      <c r="A11" s="3" t="s">
        <v>182</v>
      </c>
      <c r="B11" s="3" t="n">
        <f aca="false">SUM(B2:B10)</f>
        <v>82</v>
      </c>
      <c r="C11" s="3"/>
      <c r="D11" s="6" t="n">
        <f aca="false">SUM(D2:D10)</f>
        <v>36900</v>
      </c>
      <c r="E11" s="3" t="s">
        <v>183</v>
      </c>
    </row>
    <row r="12" customFormat="false" ht="43.5" hidden="false" customHeight="true" outlineLevel="0" collapsed="false">
      <c r="A12" s="2" t="s">
        <v>184</v>
      </c>
      <c r="B12" s="2"/>
      <c r="C12" s="2"/>
      <c r="D12" s="5" t="n">
        <v>1200</v>
      </c>
      <c r="E12" s="2" t="s">
        <v>173</v>
      </c>
    </row>
    <row r="13" customFormat="false" ht="43.5" hidden="false" customHeight="true" outlineLevel="0" collapsed="false">
      <c r="A13" s="3" t="s">
        <v>185</v>
      </c>
      <c r="B13" s="3"/>
      <c r="C13" s="3"/>
      <c r="D13" s="6" t="n">
        <v>900</v>
      </c>
      <c r="E13" s="3" t="s">
        <v>173</v>
      </c>
    </row>
    <row r="14" customFormat="false" ht="43.5" hidden="false" customHeight="true" outlineLevel="0" collapsed="false">
      <c r="A14" s="2" t="s">
        <v>186</v>
      </c>
      <c r="B14" s="2"/>
      <c r="C14" s="2"/>
      <c r="D14" s="5" t="n">
        <v>250</v>
      </c>
      <c r="E14" s="2" t="s">
        <v>173</v>
      </c>
    </row>
    <row r="15" customFormat="false" ht="43.5" hidden="false" customHeight="true" outlineLevel="0" collapsed="false">
      <c r="A15" s="3" t="s">
        <v>187</v>
      </c>
      <c r="B15" s="3"/>
      <c r="C15" s="3"/>
      <c r="D15" s="6" t="n">
        <v>2000</v>
      </c>
      <c r="E15" s="3" t="s">
        <v>173</v>
      </c>
    </row>
    <row r="16" customFormat="false" ht="43.5" hidden="false" customHeight="true" outlineLevel="0" collapsed="false">
      <c r="A16" s="2" t="s">
        <v>188</v>
      </c>
      <c r="B16" s="2"/>
      <c r="C16" s="2"/>
      <c r="D16" s="5" t="n">
        <v>3000</v>
      </c>
      <c r="E16" s="2" t="s">
        <v>173</v>
      </c>
    </row>
    <row r="17" customFormat="false" ht="43.5" hidden="false" customHeight="true" outlineLevel="0" collapsed="false">
      <c r="A17" s="3" t="s">
        <v>189</v>
      </c>
      <c r="B17" s="3"/>
      <c r="C17" s="3"/>
      <c r="D17" s="6" t="n">
        <f aca="false">SUM(D11:D16)</f>
        <v>44250</v>
      </c>
      <c r="E17" s="3" t="s">
        <v>190</v>
      </c>
    </row>
    <row r="18" customFormat="false" ht="43.5" hidden="false" customHeight="true" outlineLevel="0" collapsed="false">
      <c r="A18" s="2" t="s">
        <v>191</v>
      </c>
      <c r="B18" s="2"/>
      <c r="C18" s="2"/>
      <c r="D18" s="5"/>
      <c r="E18" s="2" t="s">
        <v>192</v>
      </c>
    </row>
    <row r="19" customFormat="false" ht="43.5" hidden="false" customHeight="true" outlineLevel="0" collapsed="false">
      <c r="A19" s="3" t="s">
        <v>193</v>
      </c>
      <c r="B19" s="3"/>
      <c r="C19" s="3"/>
      <c r="D19" s="6"/>
      <c r="E19" s="3" t="s">
        <v>194</v>
      </c>
    </row>
  </sheetData>
  <autoFilter ref="A1:E19"/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  <col collapsed="false" customWidth="true" hidden="false" outlineLevel="0" max="5" min="5" style="0" width="100"/>
  </cols>
  <sheetData>
    <row r="1" customFormat="false" ht="15" hidden="false" customHeight="false" outlineLevel="0" collapsed="false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</row>
    <row r="2" customFormat="false" ht="43.5" hidden="false" customHeight="true" outlineLevel="0" collapsed="false">
      <c r="A2" s="2" t="s">
        <v>200</v>
      </c>
      <c r="B2" s="2" t="n">
        <v>11041</v>
      </c>
      <c r="C2" s="2" t="n">
        <v>1123</v>
      </c>
      <c r="D2" s="2" t="n">
        <f aca="false">C2-B2</f>
        <v>-9918</v>
      </c>
      <c r="E2" s="2" t="s">
        <v>201</v>
      </c>
    </row>
    <row r="3" customFormat="false" ht="43.5" hidden="false" customHeight="true" outlineLevel="0" collapsed="false">
      <c r="A3" s="3" t="s">
        <v>202</v>
      </c>
      <c r="B3" s="3" t="n">
        <v>9917</v>
      </c>
      <c r="C3" s="3" t="n">
        <v>763</v>
      </c>
      <c r="D3" s="3" t="n">
        <f aca="false">C3-B3</f>
        <v>-9154</v>
      </c>
      <c r="E3" s="3" t="s">
        <v>201</v>
      </c>
    </row>
    <row r="4" customFormat="false" ht="43.5" hidden="false" customHeight="true" outlineLevel="0" collapsed="false">
      <c r="A4" s="2" t="s">
        <v>203</v>
      </c>
      <c r="B4" s="2" t="n">
        <v>10220</v>
      </c>
      <c r="C4" s="2" t="n">
        <v>550</v>
      </c>
      <c r="D4" s="2" t="n">
        <f aca="false">C4-B4</f>
        <v>-9670</v>
      </c>
      <c r="E4" s="2" t="s">
        <v>201</v>
      </c>
    </row>
    <row r="5" customFormat="false" ht="43.5" hidden="false" customHeight="true" outlineLevel="0" collapsed="false">
      <c r="A5" s="3" t="s">
        <v>204</v>
      </c>
      <c r="B5" s="3" t="n">
        <v>10363</v>
      </c>
      <c r="C5" s="3" t="n">
        <v>748</v>
      </c>
      <c r="D5" s="3" t="n">
        <f aca="false">C5-B5</f>
        <v>-9615</v>
      </c>
      <c r="E5" s="3" t="s">
        <v>201</v>
      </c>
    </row>
    <row r="6" customFormat="false" ht="43.5" hidden="false" customHeight="true" outlineLevel="0" collapsed="false">
      <c r="A6" s="2" t="s">
        <v>205</v>
      </c>
      <c r="B6" s="2" t="n">
        <v>8660</v>
      </c>
      <c r="C6" s="2" t="n">
        <v>494</v>
      </c>
      <c r="D6" s="2" t="n">
        <f aca="false">C6-B6</f>
        <v>-8166</v>
      </c>
      <c r="E6" s="2" t="s">
        <v>201</v>
      </c>
    </row>
  </sheetData>
  <autoFilter ref="A1:E6"/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4" min="3" style="0" width="65"/>
    <col collapsed="false" customWidth="true" hidden="false" outlineLevel="0" max="5" min="5" style="0" width="60"/>
    <col collapsed="false" customWidth="true" hidden="false" outlineLevel="0" max="6" min="6" style="0" width="25"/>
  </cols>
  <sheetData>
    <row r="1" customFormat="false" ht="15" hidden="false" customHeight="false" outlineLevel="0" collapsed="false">
      <c r="A1" s="1" t="s">
        <v>62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</row>
    <row r="2" customFormat="false" ht="43.5" hidden="false" customHeight="true" outlineLevel="0" collapsed="false">
      <c r="A2" s="2" t="s">
        <v>211</v>
      </c>
      <c r="B2" s="2" t="s">
        <v>212</v>
      </c>
      <c r="C2" s="2" t="s">
        <v>213</v>
      </c>
      <c r="D2" s="2" t="s">
        <v>214</v>
      </c>
      <c r="E2" s="2" t="s">
        <v>215</v>
      </c>
      <c r="F2" s="2" t="s">
        <v>216</v>
      </c>
    </row>
    <row r="3" customFormat="false" ht="43.5" hidden="false" customHeight="true" outlineLevel="0" collapsed="false">
      <c r="A3" s="3" t="s">
        <v>217</v>
      </c>
      <c r="B3" s="3" t="s">
        <v>218</v>
      </c>
      <c r="C3" s="3" t="s">
        <v>219</v>
      </c>
      <c r="D3" s="3" t="s">
        <v>220</v>
      </c>
      <c r="E3" s="3" t="s">
        <v>221</v>
      </c>
      <c r="F3" s="3" t="s">
        <v>216</v>
      </c>
    </row>
    <row r="4" customFormat="false" ht="43.5" hidden="false" customHeight="true" outlineLevel="0" collapsed="false">
      <c r="A4" s="2" t="s">
        <v>222</v>
      </c>
      <c r="B4" s="2" t="s">
        <v>212</v>
      </c>
      <c r="C4" s="2" t="s">
        <v>223</v>
      </c>
      <c r="D4" s="2" t="s">
        <v>224</v>
      </c>
      <c r="E4" s="2" t="s">
        <v>225</v>
      </c>
      <c r="F4" s="2" t="s">
        <v>226</v>
      </c>
    </row>
  </sheetData>
  <autoFilter ref="A1:F4"/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4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1" t="s">
        <v>151</v>
      </c>
      <c r="B1" s="1" t="s">
        <v>152</v>
      </c>
      <c r="C1" s="1" t="s">
        <v>171</v>
      </c>
    </row>
    <row r="2" customFormat="false" ht="43.5" hidden="false" customHeight="true" outlineLevel="0" collapsed="false">
      <c r="A2" s="2" t="s">
        <v>227</v>
      </c>
      <c r="B2" s="2" t="s">
        <v>228</v>
      </c>
      <c r="C2" s="2" t="s">
        <v>229</v>
      </c>
    </row>
    <row r="3" customFormat="false" ht="43.5" hidden="false" customHeight="true" outlineLevel="0" collapsed="false">
      <c r="A3" s="3" t="s">
        <v>230</v>
      </c>
      <c r="B3" s="3" t="n">
        <v>82</v>
      </c>
      <c r="C3" s="3" t="s">
        <v>231</v>
      </c>
    </row>
    <row r="4" customFormat="false" ht="43.5" hidden="false" customHeight="true" outlineLevel="0" collapsed="false">
      <c r="A4" s="2" t="s">
        <v>232</v>
      </c>
      <c r="B4" s="2" t="n">
        <v>58</v>
      </c>
      <c r="C4" s="2" t="s">
        <v>233</v>
      </c>
    </row>
    <row r="5" customFormat="false" ht="43.5" hidden="false" customHeight="true" outlineLevel="0" collapsed="false">
      <c r="A5" s="3" t="s">
        <v>234</v>
      </c>
      <c r="B5" s="3" t="n">
        <v>28</v>
      </c>
      <c r="C5" s="3" t="s">
        <v>233</v>
      </c>
    </row>
    <row r="6" customFormat="false" ht="43.5" hidden="false" customHeight="true" outlineLevel="0" collapsed="false">
      <c r="A6" s="2" t="s">
        <v>235</v>
      </c>
      <c r="B6" s="2" t="n">
        <f aca="false">B4+B5</f>
        <v>86</v>
      </c>
      <c r="C6" s="2" t="s">
        <v>236</v>
      </c>
    </row>
    <row r="7" customFormat="false" ht="43.5" hidden="false" customHeight="true" outlineLevel="0" collapsed="false">
      <c r="A7" s="3" t="s">
        <v>237</v>
      </c>
      <c r="B7" s="3" t="n">
        <v>450</v>
      </c>
      <c r="C7" s="3" t="s">
        <v>238</v>
      </c>
    </row>
    <row r="8" customFormat="false" ht="43.5" hidden="false" customHeight="true" outlineLevel="0" collapsed="false">
      <c r="A8" s="2" t="s">
        <v>239</v>
      </c>
      <c r="B8" s="2" t="n">
        <v>7350</v>
      </c>
      <c r="C8" s="2" t="s">
        <v>240</v>
      </c>
    </row>
    <row r="9" customFormat="false" ht="43.5" hidden="false" customHeight="true" outlineLevel="0" collapsed="false">
      <c r="A9" s="3" t="s">
        <v>241</v>
      </c>
      <c r="B9" s="3" t="n">
        <f aca="false">B3*B7+B8</f>
        <v>44250</v>
      </c>
      <c r="C9" s="3" t="s">
        <v>242</v>
      </c>
    </row>
    <row r="10" customFormat="false" ht="43.5" hidden="false" customHeight="true" outlineLevel="0" collapsed="false">
      <c r="A10" s="2" t="s">
        <v>243</v>
      </c>
      <c r="B10" s="2" t="n">
        <f aca="false">B6*B7+B8</f>
        <v>46050</v>
      </c>
      <c r="C10" s="2" t="s">
        <v>242</v>
      </c>
    </row>
    <row r="11" customFormat="false" ht="43.5" hidden="false" customHeight="true" outlineLevel="0" collapsed="false">
      <c r="A11" s="3" t="s">
        <v>244</v>
      </c>
      <c r="B11" s="3" t="n">
        <f aca="false">B10-B9</f>
        <v>1800</v>
      </c>
      <c r="C11" s="3" t="s">
        <v>242</v>
      </c>
    </row>
    <row r="12" customFormat="false" ht="43.5" hidden="false" customHeight="true" outlineLevel="0" collapsed="false">
      <c r="A12" s="2" t="s">
        <v>245</v>
      </c>
      <c r="B12" s="2" t="n">
        <f aca="false">B11/B9</f>
        <v>0.0406779661016949</v>
      </c>
      <c r="C12" s="2" t="s">
        <v>246</v>
      </c>
    </row>
    <row r="13" customFormat="false" ht="43.5" hidden="false" customHeight="true" outlineLevel="0" collapsed="false">
      <c r="A13" s="3" t="s">
        <v>247</v>
      </c>
      <c r="B13" s="3" t="n">
        <v>11</v>
      </c>
      <c r="C13" s="3" t="s">
        <v>248</v>
      </c>
    </row>
    <row r="14" customFormat="false" ht="43.5" hidden="false" customHeight="true" outlineLevel="0" collapsed="false">
      <c r="A14" s="2" t="s">
        <v>249</v>
      </c>
      <c r="B14" s="2" t="n">
        <v>12</v>
      </c>
      <c r="C14" s="2" t="s">
        <v>248</v>
      </c>
    </row>
    <row r="15" customFormat="false" ht="43.5" hidden="false" customHeight="true" outlineLevel="0" collapsed="false">
      <c r="A15" s="3" t="s">
        <v>250</v>
      </c>
      <c r="B15" s="3" t="n">
        <f aca="false">B14-B13</f>
        <v>1</v>
      </c>
      <c r="C15" s="3" t="s">
        <v>251</v>
      </c>
    </row>
    <row r="16" customFormat="false" ht="43.5" hidden="false" customHeight="true" outlineLevel="0" collapsed="false">
      <c r="A16" s="2" t="s">
        <v>252</v>
      </c>
      <c r="B16" s="2" t="n">
        <v>10</v>
      </c>
      <c r="C16" s="2" t="s">
        <v>236</v>
      </c>
    </row>
    <row r="17" customFormat="false" ht="43.5" hidden="false" customHeight="true" outlineLevel="0" collapsed="false">
      <c r="A17" s="3" t="s">
        <v>253</v>
      </c>
      <c r="B17" s="3" t="n">
        <v>12</v>
      </c>
      <c r="C17" s="3" t="s">
        <v>236</v>
      </c>
    </row>
    <row r="18" customFormat="false" ht="43.5" hidden="false" customHeight="true" outlineLevel="0" collapsed="false">
      <c r="A18" s="2" t="s">
        <v>254</v>
      </c>
      <c r="B18" s="2" t="n">
        <f aca="false">B17/B16</f>
        <v>1.2</v>
      </c>
      <c r="C18" s="2" t="s">
        <v>255</v>
      </c>
    </row>
  </sheetData>
  <autoFilter ref="A1:C18"/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2026-09-16T12:12:38Z</dcterms:created>
  <dc:creator>openpyxl</dc:creator>
  <dc:description/>
  <dc:language>en-US</dc:language>
  <cp:lastModifiedBy/>
  <dcterms:modified xsi:type="dcterms:W3CDTF">2026-09-16T12:12:38Z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