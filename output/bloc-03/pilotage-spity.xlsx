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074d92d8b74f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ilotage" sheetId="1" r:id="Rf5ef7024ad4641f7"/>
    <x:sheet xmlns:r="http://schemas.openxmlformats.org/officeDocument/2006/relationships" name="Planning" sheetId="2" r:id="Rae6a336d5a514871"/>
    <x:sheet xmlns:r="http://schemas.openxmlformats.org/officeDocument/2006/relationships" name="Risques" sheetId="3" r:id="R77f82d07d8ca47f3"/>
    <x:sheet xmlns:r="http://schemas.openxmlformats.org/officeDocument/2006/relationships" name="Estimations" sheetId="4" r:id="Racdf1b04fcce417b"/>
    <x:sheet xmlns:r="http://schemas.openxmlformats.org/officeDocument/2006/relationships" name="Linear" sheetId="5" r:id="Rabe8b91f510f4c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#,##0 &quot;€&quot;;(#,##0) &quot;€&quot;;&quot;-&quot;"/>
    <x:numFmt numFmtId="202" formatCode="0%"/>
    <x:numFmt numFmtId="203" formatCode="#,##0;(#,##0);&quot;-&quot;"/>
    <x:numFmt numFmtId="204" formatCode="#,##0 &quot;€&quot;"/>
  </x:numFmts>
  <x:fonts count="7">
    <x:font>
      <x:sz val="11"/>
      <x:name val="Carlito"/>
    </x:font>
    <x:font>
      <x:sz val="11"/>
      <x:color rgb="FF18312D"/>
      <x:name val="Arial"/>
    </x:font>
    <x:font>
      <x:b/>
      <x:sz val="17"/>
      <x:color rgb="FF18312D"/>
      <x:name val="Arial"/>
    </x:font>
    <x:font>
      <x:sz val="11"/>
      <x:color rgb="FF8B4B08"/>
      <x:name val="Arial"/>
    </x:font>
    <x:font>
      <x:b/>
      <x:sz val="11"/>
      <x:color rgb="FFFFFFFF"/>
      <x:name val="Arial"/>
    </x:font>
    <x:font>
      <x:b/>
      <x:sz val="11"/>
      <x:color rgb="FF18312D"/>
      <x:name val="Arial"/>
    </x:font>
    <x:font>
      <x:sz val="11"/>
      <x:color rgb="FF1458B2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6B58"/>
      </x:patternFill>
    </x:fill>
    <x:fill>
      <x:patternFill patternType="solid">
        <x:fgColor rgb="FFEFF4F0"/>
      </x:patternFill>
    </x:fill>
    <x:fill>
      <x:patternFill patternType="solid">
        <x:fgColor rgb="FFFFF7DD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8B4B08"/>
      </x:font>
      <x:fill>
        <x:patternFill patternType="solid">
          <x:bgColor rgb="FFFDE5CD"/>
        </x:patternFill>
      </x:fill>
    </x:dxf>
    <x:dxf>
      <x:font>
        <x:b/>
        <x:color rgb="FFA32121"/>
      </x:font>
      <x:fill>
        <x:patternFill patternType="solid">
          <x:bgColor rgb="FFFCE2E2"/>
        </x:patternFill>
      </x:fill>
    </x:dxf>
    <x:dxf>
      <x:font>
        <x:b/>
        <x:color rgb="FFA32121"/>
      </x:font>
      <x:fill>
        <x:patternFill patternType="solid">
          <x:bgColor rgb="FFFCE2E2"/>
        </x:patternFill>
      </x:fill>
    </x:dxf>
    <x:dxf>
      <x:fill>
        <x:patternFill patternType="solid">
          <x:bgColor rgb="FFFDE5CD"/>
        </x:patternFill>
      </x:fill>
    </x:dxf>
    <x:dxf>
      <x:fill>
        <x:patternFill patternType="solid">
          <x:bgColor rgb="FFFDE5CD"/>
        </x:patternFill>
      </x:fill>
    </x:dxf>
    <x:dxf>
      <x:font>
        <x:b/>
        <x:color rgb="FF8B4B08"/>
      </x:font>
      <x:fill>
        <x:patternFill patternType="solid">
          <x:bgColor rgb="FFFD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42f069b8b046a3" /><Relationship Type="http://schemas.openxmlformats.org/officeDocument/2006/relationships/theme" Target="/xl/theme/theme1.xml" Id="Ree11ef32cdbc42fa" /><Relationship Type="http://schemas.openxmlformats.org/officeDocument/2006/relationships/sharedStrings" Target="/xl/sharedStrings.xml" Id="R85e9b394ed9e49d4" /><Relationship Type="http://schemas.openxmlformats.org/officeDocument/2006/relationships/worksheet" Target="/xl/worksheets/sheet1.xml" Id="Rf5ef7024ad4641f7" /><Relationship Type="http://schemas.openxmlformats.org/officeDocument/2006/relationships/worksheet" Target="/xl/worksheets/sheet2.xml" Id="Rae6a336d5a514871" /><Relationship Type="http://schemas.openxmlformats.org/officeDocument/2006/relationships/worksheet" Target="/xl/worksheets/sheet3.xml" Id="R77f82d07d8ca47f3" /><Relationship Type="http://schemas.openxmlformats.org/officeDocument/2006/relationships/worksheet" Target="/xl/worksheets/sheet4.xml" Id="Racdf1b04fcce417b" /><Relationship Type="http://schemas.openxmlformats.org/officeDocument/2006/relationships/worksheet" Target="/xl/worksheets/sheet5.xml" Id="Rabe8b91f510f4c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6B58"/>
  </x:sheetPr>
  <x:sheetViews>
    <x:sheetView showGridLines="0" workbookViewId="0"/>
  </x:sheetViews>
  <x:sheetFormatPr defaultRowHeight="15"/>
  <x:cols>
    <x:col min="2" max="2" width="3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2" ht="34" customHeight="1">
      <x:c r="B2" s="3" t="str">
        <x:v>Spity - Tableau de pilotage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5" customHeight="1">
      <x:c r="B4" s="4" t="str">
        <x:v>SIMULATION PÉDAGOGIQUE - état à J10, horizon de 15 jours ouvrés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5" customHeight="1">
      <x:c r="B5" s="4" t="str">
        <x:v>Les jours, charges, taux et réunions du cas ne sont pas des observations historiques.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5" customHeight="1"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6" customHeight="1">
      <x:c r="B7" s="7" t="str">
        <x:v>Indicateur</x:v>
      </x:c>
      <x:c r="C7" s="7" t="str">
        <x:v>Valeur</x:v>
      </x:c>
      <x:c r="D7" s="2"/>
      <x:c r="E7" s="2" t="str">
        <x:v>Hypothèses</x:v>
      </x:c>
      <x:c r="F7" s="2"/>
      <x:c r="G7" s="2"/>
      <x:c r="H7" s="2"/>
      <x:c r="I7" s="2"/>
      <x:c r="J7" s="2"/>
      <x:c r="K7" s="2"/>
      <x:c r="L7" s="2"/>
    </x:row>
    <x:row r="8" ht="25" customHeight="1">
      <x:c r="B8" s="2" t="str">
        <x:v>Charge prévue (h)</x:v>
      </x:c>
      <x:c r="C8" s="2" t="n">
        <x:f>SUM('Planning'!H9:H18)</x:f>
        <x:v>112</x:v>
      </x:c>
      <x:c r="D8" s="2"/>
      <x:c r="E8" s="2" t="str">
        <x:v>Réserve</x:v>
      </x:c>
      <x:c r="F8" s="16" t="n">
        <x:v>0.1</x:v>
      </x:c>
      <x:c r="G8" s="2"/>
      <x:c r="H8" s="2"/>
      <x:c r="I8" s="2"/>
      <x:c r="J8" s="2"/>
      <x:c r="K8" s="2"/>
      <x:c r="L8" s="2"/>
    </x:row>
    <x:row r="9" ht="25" customHeight="1">
      <x:c r="B9" s="2" t="str">
        <x:v>Charge consommée (h)</x:v>
      </x:c>
      <x:c r="C9" s="2" t="n">
        <x:f>SUM('Planning'!I9:I18)</x:f>
        <x:v>77</x:v>
      </x:c>
      <x:c r="D9" s="2"/>
      <x:c r="E9" s="2" t="str">
        <x:v>Alerte charge</x:v>
      </x:c>
      <x:c r="F9" s="16" t="n">
        <x:v>0.9</x:v>
      </x:c>
      <x:c r="G9" s="2"/>
      <x:c r="H9" s="2"/>
      <x:c r="I9" s="2"/>
      <x:c r="J9" s="2"/>
      <x:c r="K9" s="2"/>
      <x:c r="L9" s="2"/>
    </x:row>
    <x:row r="10" ht="25" customHeight="1">
      <x:c r="B10" s="2" t="str">
        <x:v>Reste à faire (h)</x:v>
      </x:c>
      <x:c r="C10" s="2" t="n">
        <x:f>SUM('Planning'!J9:J18)</x:f>
        <x:v>40</x:v>
      </x:c>
      <x:c r="D10" s="2"/>
      <x:c r="E10" s="2"/>
      <x:c r="F10" s="2"/>
      <x:c r="G10" s="2"/>
      <x:c r="H10" s="2"/>
      <x:c r="I10" s="2"/>
      <x:c r="J10" s="2"/>
      <x:c r="K10" s="2"/>
      <x:c r="L10" s="2"/>
    </x:row>
    <x:row r="11" ht="25" customHeight="1">
      <x:c r="B11" s="2" t="str">
        <x:v>Prévision finale (h)</x:v>
      </x:c>
      <x:c r="C11" s="2" t="n">
        <x:f>SUM('Planning'!K9:K18)</x:f>
        <x:v>117</x:v>
      </x:c>
      <x:c r="D11" s="2"/>
      <x:c r="E11" s="2" t="str">
        <x:v>Entrées bleues sur fond ambre : modifiables</x:v>
      </x:c>
      <x:c r="F11" s="2"/>
      <x:c r="G11" s="2"/>
      <x:c r="H11" s="2"/>
      <x:c r="I11" s="2"/>
      <x:c r="J11" s="2"/>
      <x:c r="K11" s="2"/>
      <x:c r="L11" s="2"/>
    </x:row>
    <x:row r="12" ht="25" customHeight="1">
      <x:c r="B12" s="2" t="str">
        <x:v>Tâches terminées</x:v>
      </x:c>
      <x:c r="C12" s="8" t="n">
        <x:f>COUNTIFS('Planning'!G9:G18,"Terminé")/COUNTA('Planning'!A9:A18)</x:f>
        <x:v>0.5</x:v>
      </x:c>
      <x:c r="D12" s="2"/>
      <x:c r="E12" s="2" t="str">
        <x:v>Les formules recalculent charges, coûts et écarts.</x:v>
      </x:c>
      <x:c r="F12" s="2"/>
      <x:c r="G12" s="2"/>
      <x:c r="H12" s="2"/>
      <x:c r="I12" s="2"/>
      <x:c r="J12" s="2"/>
      <x:c r="K12" s="2"/>
      <x:c r="L12" s="2"/>
    </x:row>
    <x:row r="13" ht="25" customHeight="1"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25" customHeight="1">
      <x:c r="B14" s="2" t="str">
        <x:v>Budget initial (EUR)</x:v>
      </x:c>
      <x:c r="C14" s="9" t="n">
        <x:f>SUM(I23:I25)+SUM(F30:F31)</x:f>
        <x:v>4270</x:v>
      </x:c>
      <x:c r="D14" s="2"/>
      <x:c r="E14" s="2" t="str">
        <x:v>EUR : valorisation économique du travail, hors taxes.</x:v>
      </x:c>
      <x:c r="F14" s="2"/>
      <x:c r="G14" s="2"/>
      <x:c r="H14" s="2"/>
      <x:c r="I14" s="2"/>
      <x:c r="J14" s="2"/>
      <x:c r="K14" s="2"/>
      <x:c r="L14" s="2"/>
    </x:row>
    <x:row r="15" ht="25" customHeight="1">
      <x:c r="B15" s="2" t="str">
        <x:v>Consommé (EUR)</x:v>
      </x:c>
      <x:c r="C15" s="9" t="n">
        <x:f>SUM(J23:J25)+SUM(G30:G31)</x:f>
        <x:v>2945</x:v>
      </x:c>
      <x:c r="D15" s="2"/>
      <x:c r="E15" s="2" t="str">
        <x:v>Les capacités portent sur tout le lot de 15 jours.</x:v>
      </x:c>
      <x:c r="F15" s="2"/>
      <x:c r="G15" s="2"/>
      <x:c r="H15" s="2"/>
      <x:c r="I15" s="2"/>
      <x:c r="J15" s="2"/>
      <x:c r="K15" s="2"/>
      <x:c r="L15" s="2"/>
    </x:row>
    <x:row r="16" ht="25" customHeight="1">
      <x:c r="B16" s="10" t="str">
        <x:v>Prévision finale (EUR)</x:v>
      </x:c>
      <x:c r="C16" s="11" t="n">
        <x:f>SUM(K23:K25)+IF(COUNT(H30:H31)=2,SUM(H30:H31),NA())</x:f>
        <x:v>4465</x:v>
      </x:c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25" customHeight="1">
      <x:c r="B17" s="2" t="str">
        <x:v>Dépassement (EUR)</x:v>
      </x:c>
      <x:c r="C17" s="9" t="n">
        <x:f>C16-C14</x:f>
        <x:v>195</x:v>
      </x:c>
      <x:c r="D17" s="2"/>
      <x:c r="E17" s="2" t="str">
        <x:v>Source du cas : données pédagogiques, A01 à A04.</x:v>
      </x:c>
      <x:c r="F17" s="2"/>
      <x:c r="G17" s="2"/>
      <x:c r="H17" s="2"/>
      <x:c r="I17" s="2"/>
      <x:c r="J17" s="2"/>
      <x:c r="K17" s="2"/>
      <x:c r="L17" s="2"/>
    </x:row>
    <x:row r="18" ht="25" customHeight="1">
      <x:c r="B18" s="2" t="str">
        <x:v>Plafond avec réserve (EUR)</x:v>
      </x:c>
      <x:c r="C18" s="9" t="n">
        <x:f>C14*(1+F8)</x:f>
        <x:v>4697</x:v>
      </x:c>
      <x:c r="D18" s="2"/>
      <x:c r="E18" s="2" t="str">
        <x:v>Linear lu le 14/09/2026 : 12 Done / 24 non annulés.</x:v>
      </x:c>
      <x:c r="F18" s="2"/>
      <x:c r="G18" s="2"/>
      <x:c r="H18" s="2"/>
      <x:c r="I18" s="2"/>
      <x:c r="J18" s="2"/>
      <x:c r="K18" s="2"/>
      <x:c r="L18" s="2"/>
    </x:row>
    <x:row r="19" ht="25" customHeight="1">
      <x:c r="B19" s="12" t="str">
        <x:v>Marge restante (EUR)</x:v>
      </x:c>
      <x:c r="C19" s="13" t="n">
        <x:f>C18-C16</x:f>
        <x:v>232</x:v>
      </x:c>
      <x:c r="D19" s="2"/>
      <x:c r="E19" s="2" t="str">
        <x:v>Statuts observés dans la feuille Linear ; cas distinct.</x:v>
      </x:c>
      <x:c r="F19" s="2"/>
      <x:c r="G19" s="2"/>
      <x:c r="H19" s="2"/>
      <x:c r="I19" s="2"/>
      <x:c r="J19" s="2"/>
      <x:c r="K19" s="2"/>
      <x:c r="L19" s="2"/>
    </x:row>
    <x:row r="20" ht="25" customHeight="1"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 ht="25" customHeight="1"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36" customHeight="1">
      <x:c r="B22" s="7" t="str">
        <x:v>Rôle</x:v>
      </x:c>
      <x:c r="C22" s="7" t="str">
        <x:v>Capacité h</x:v>
      </x:c>
      <x:c r="D22" s="7" t="str">
        <x:v>EUR / h</x:v>
      </x:c>
      <x:c r="E22" s="7" t="str">
        <x:v>Prévu h</x:v>
      </x:c>
      <x:c r="F22" s="7" t="str">
        <x:v>Consommé h</x:v>
      </x:c>
      <x:c r="G22" s="7" t="str">
        <x:v>Restant h</x:v>
      </x:c>
      <x:c r="H22" s="7" t="str">
        <x:v>Prévision h</x:v>
      </x:c>
      <x:c r="I22" s="7" t="str">
        <x:v>Budget EUR</x:v>
      </x:c>
      <x:c r="J22" s="7" t="str">
        <x:v>Consommé EUR</x:v>
      </x:c>
      <x:c r="K22" s="7" t="str">
        <x:v>Prévision EUR</x:v>
      </x:c>
      <x:c r="L22" s="7" t="str">
        <x:v>Occupation</x:v>
      </x:c>
    </x:row>
    <x:row r="23" ht="25" customHeight="1">
      <x:c r="B23" s="2" t="str">
        <x:v>CP</x:v>
      </x:c>
      <x:c r="C23" s="18" t="n">
        <x:v>30</x:v>
      </x:c>
      <x:c r="D23" s="18" t="n">
        <x:v>45</x:v>
      </x:c>
      <x:c r="E23" s="2" t="n">
        <x:f>SUMIFS('Planning'!$H$9:$H$18,'Planning'!$C$9:$C$18,B23)</x:f>
        <x:v>28</x:v>
      </x:c>
      <x:c r="F23" s="2" t="n">
        <x:f>SUMIFS('Planning'!$I$9:$I$18,'Planning'!$C$9:$C$18,B23)</x:f>
        <x:v>19</x:v>
      </x:c>
      <x:c r="G23" s="2" t="n">
        <x:f>SUMIFS('Planning'!$J$9:$J$18,'Planning'!$C$9:$C$18,B23)</x:f>
        <x:v>10</x:v>
      </x:c>
      <x:c r="H23" s="2" t="n">
        <x:f>SUMIFS('Planning'!$K$9:$K$18,'Planning'!$C$9:$C$18,B23)</x:f>
        <x:v>29</x:v>
      </x:c>
      <x:c r="I23" s="19" t="n">
        <x:f>IF(ISNUMBER(D23),E23*D23,NA())</x:f>
        <x:v>1260</x:v>
      </x:c>
      <x:c r="J23" s="19" t="n">
        <x:f>IF(ISNUMBER(D23),F23*D23,NA())</x:f>
        <x:v>855</x:v>
      </x:c>
      <x:c r="K23" s="19" t="n">
        <x:f>IF(ISNUMBER(D23),H23*D23,NA())</x:f>
        <x:v>1305</x:v>
      </x:c>
      <x:c r="L23" s="8" t="n">
        <x:f>IF(ISNUMBER(C23),IF(C23=0,"n.a.",H23/C23),"À renseigner")</x:f>
        <x:v>0.9666666666666667</x:v>
      </x:c>
    </x:row>
    <x:row r="24" ht="25" customHeight="1">
      <x:c r="B24" s="2" t="str">
        <x:v>DEV</x:v>
      </x:c>
      <x:c r="C24" s="18" t="n">
        <x:v>72</x:v>
      </x:c>
      <x:c r="D24" s="18" t="n">
        <x:v>35</x:v>
      </x:c>
      <x:c r="E24" s="2" t="n">
        <x:f>SUMIFS('Planning'!$H$9:$H$18,'Planning'!$C$9:$C$18,B24)</x:f>
        <x:v>62</x:v>
      </x:c>
      <x:c r="F24" s="2" t="n">
        <x:f>SUMIFS('Planning'!$I$9:$I$18,'Planning'!$C$9:$C$18,B24)</x:f>
        <x:v>46</x:v>
      </x:c>
      <x:c r="G24" s="2" t="n">
        <x:f>SUMIFS('Planning'!$J$9:$J$18,'Planning'!$C$9:$C$18,B24)</x:f>
        <x:v>18</x:v>
      </x:c>
      <x:c r="H24" s="2" t="n">
        <x:f>SUMIFS('Planning'!$K$9:$K$18,'Planning'!$C$9:$C$18,B24)</x:f>
        <x:v>64</x:v>
      </x:c>
      <x:c r="I24" s="19" t="n">
        <x:f>IF(ISNUMBER(D24),E24*D24,NA())</x:f>
        <x:v>2170</x:v>
      </x:c>
      <x:c r="J24" s="19" t="n">
        <x:f>IF(ISNUMBER(D24),F24*D24,NA())</x:f>
        <x:v>1610</x:v>
      </x:c>
      <x:c r="K24" s="19" t="n">
        <x:f>IF(ISNUMBER(D24),H24*D24,NA())</x:f>
        <x:v>2240</x:v>
      </x:c>
      <x:c r="L24" s="8" t="n">
        <x:f>IF(ISNUMBER(C24),IF(C24=0,"n.a.",H24/C24),"À renseigner")</x:f>
        <x:v>0.8888888888888888</x:v>
      </x:c>
    </x:row>
    <x:row r="25" ht="25" customHeight="1">
      <x:c r="B25" s="2" t="str">
        <x:v>QA</x:v>
      </x:c>
      <x:c r="C25" s="18" t="n">
        <x:v>30</x:v>
      </x:c>
      <x:c r="D25" s="18" t="n">
        <x:v>30</x:v>
      </x:c>
      <x:c r="E25" s="2" t="n">
        <x:f>SUMIFS('Planning'!$H$9:$H$18,'Planning'!$C$9:$C$18,B25)</x:f>
        <x:v>22</x:v>
      </x:c>
      <x:c r="F25" s="2" t="n">
        <x:f>SUMIFS('Planning'!$I$9:$I$18,'Planning'!$C$9:$C$18,B25)</x:f>
        <x:v>12</x:v>
      </x:c>
      <x:c r="G25" s="2" t="n">
        <x:f>SUMIFS('Planning'!$J$9:$J$18,'Planning'!$C$9:$C$18,B25)</x:f>
        <x:v>12</x:v>
      </x:c>
      <x:c r="H25" s="2" t="n">
        <x:f>SUMIFS('Planning'!$K$9:$K$18,'Planning'!$C$9:$C$18,B25)</x:f>
        <x:v>24</x:v>
      </x:c>
      <x:c r="I25" s="19" t="n">
        <x:f>IF(ISNUMBER(D25),E25*D25,NA())</x:f>
        <x:v>660</x:v>
      </x:c>
      <x:c r="J25" s="19" t="n">
        <x:f>IF(ISNUMBER(D25),F25*D25,NA())</x:f>
        <x:v>360</x:v>
      </x:c>
      <x:c r="K25" s="19" t="n">
        <x:f>IF(ISNUMBER(D25),H25*D25,NA())</x:f>
        <x:v>720</x:v>
      </x:c>
      <x:c r="L25" s="8" t="n">
        <x:f>IF(ISNUMBER(C25),IF(C25=0,"n.a.",H25/C25),"À renseigner")</x:f>
        <x:v>0.8</x:v>
      </x:c>
    </x:row>
    <x:row r="26" ht="25" customHeight="1"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25" customHeight="1"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25" customHeight="1">
      <x:c r="B28" s="12" t="str">
        <x:v>Frais du scénario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36" customHeight="1">
      <x:c r="B29" s="7" t="str">
        <x:v>Poste</x:v>
      </x:c>
      <x:c r="C29" s="7" t="str"/>
      <x:c r="D29" s="7" t="str"/>
      <x:c r="E29" s="7" t="str"/>
      <x:c r="F29" s="7" t="str">
        <x:v>Prévu EUR</x:v>
      </x:c>
      <x:c r="G29" s="7" t="str">
        <x:v>Consommé EUR</x:v>
      </x:c>
      <x:c r="H29" s="7" t="str">
        <x:v>Prévision EUR</x:v>
      </x:c>
      <x:c r="I29" s="2"/>
      <x:c r="J29" s="2"/>
      <x:c r="K29" s="2"/>
      <x:c r="L29" s="2"/>
    </x:row>
    <x:row r="30" ht="25" customHeight="1">
      <x:c r="B30" s="2" t="str">
        <x:v>Infrastructure de démonstration</x:v>
      </x:c>
      <x:c r="C30" s="2"/>
      <x:c r="D30" s="2"/>
      <x:c r="E30" s="2"/>
      <x:c r="F30" s="18" t="n">
        <x:v>120</x:v>
      </x:c>
      <x:c r="G30" s="18" t="n">
        <x:v>120</x:v>
      </x:c>
      <x:c r="H30" s="18" t="n">
        <x:v>140</x:v>
      </x:c>
      <x:c r="I30" s="2"/>
      <x:c r="J30" s="2"/>
      <x:c r="K30" s="2"/>
      <x:c r="L30" s="2"/>
    </x:row>
    <x:row r="31" ht="25" customHeight="1">
      <x:c r="B31" s="2" t="str">
        <x:v>Formation ciblée</x:v>
      </x:c>
      <x:c r="C31" s="2"/>
      <x:c r="D31" s="2"/>
      <x:c r="E31" s="2"/>
      <x:c r="F31" s="18" t="n">
        <x:v>60</x:v>
      </x:c>
      <x:c r="G31" s="18" t="n">
        <x:v>0</x:v>
      </x:c>
      <x:c r="H31" s="18" t="n">
        <x:v>60</x:v>
      </x:c>
      <x:c r="I31" s="2"/>
      <x:c r="J31" s="2"/>
      <x:c r="K31" s="2"/>
      <x:c r="L31" s="2"/>
    </x:row>
    <x:row r="32" ht="25" customHeight="1"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25" customHeight="1"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25" customHeight="1">
      <x:c r="B34" s="2" t="str">
        <x:v>La formation inclut 6 h déjà comptées dans les tâches. Aucun double comptage du temps.</x:v>
      </x:c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5" customHeight="1"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5" customHeight="1"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5" customHeight="1">
      <x:c r="B37" s="2" t="str">
        <x:v>Sensibilité : une hypothèse ajoutée à la fois à J10</x:v>
      </x:c>
      <x:c r="C37" s="2"/>
      <x:c r="D37" s="2"/>
      <x:c r="E37" s="2"/>
      <x:c r="F37" s="2"/>
      <x:c r="G37" s="2"/>
      <x:c r="H37" s="2"/>
    </x:row>
    <x:row r="38" ht="25" customHeight="1">
      <x:c r="B38" s="2"/>
      <x:c r="C38" s="2"/>
      <x:c r="D38" s="2"/>
      <x:c r="E38" s="2"/>
      <x:c r="F38" s="2"/>
      <x:c r="G38" s="2"/>
      <x:c r="H38" s="2"/>
    </x:row>
    <x:row r="39" ht="36" customHeight="1">
      <x:c r="B39" s="7" t="str">
        <x:v>Hypothèse</x:v>
      </x:c>
      <x:c r="C39" s="7" t="str">
        <x:v>CP +h</x:v>
      </x:c>
      <x:c r="D39" s="7" t="str">
        <x:v>DEV +h</x:v>
      </x:c>
      <x:c r="E39" s="7" t="str">
        <x:v>QA +h</x:v>
      </x:c>
      <x:c r="F39" s="7" t="str">
        <x:v>Prévision EUR</x:v>
      </x:c>
      <x:c r="G39" s="7" t="str">
        <x:v>Marge EUR</x:v>
      </x:c>
      <x:c r="H39" s="7" t="str">
        <x:v>Capacité dépassée</x:v>
      </x:c>
    </x:row>
    <x:row r="40" ht="25" customHeight="1">
      <x:c r="B40" s="2" t="str">
        <x:v>Prévision J10</x:v>
      </x:c>
      <x:c r="C40" s="18" t="n">
        <x:v>0</x:v>
      </x:c>
      <x:c r="D40" s="18" t="n">
        <x:v>0</x:v>
      </x:c>
      <x:c r="E40" s="18" t="n">
        <x:v>0</x:v>
      </x:c>
      <x:c r="F40" s="20" t="n">
        <x:f>$C$16+C40*$D$23+D40*$D$24+E40*$D$25</x:f>
        <x:v>4465</x:v>
      </x:c>
      <x:c r="G40" s="20" t="n">
        <x:f>$C$18-F40</x:f>
        <x:v>232</x:v>
      </x:c>
      <x:c r="H40" s="2" t="str">
        <x:f>IF($H$23+C40&gt;$C$23,"CP",IF($H$24+D40&gt;$C$24,"DEV",IF($H$25+E40&gt;$C$25,"QA","Aucune")))</x:f>
        <x:v>Aucune</x:v>
      </x:c>
    </x:row>
    <x:row r="41" ht="25" customHeight="1">
      <x:c r="B41" s="2" t="str">
        <x:v>Recette +6 h</x:v>
      </x:c>
      <x:c r="C41" s="18" t="n">
        <x:v>0</x:v>
      </x:c>
      <x:c r="D41" s="18" t="n">
        <x:v>0</x:v>
      </x:c>
      <x:c r="E41" s="18" t="n">
        <x:v>6</x:v>
      </x:c>
      <x:c r="F41" s="20" t="n">
        <x:f>$C$16+C41*$D$23+D41*$D$24+E41*$D$25</x:f>
        <x:v>4645</x:v>
      </x:c>
      <x:c r="G41" s="20" t="n">
        <x:f>$C$18-F41</x:f>
        <x:v>52</x:v>
      </x:c>
      <x:c r="H41" s="2" t="str">
        <x:f>IF($H$23+C41&gt;$C$23,"CP",IF($H$24+D41&gt;$C$24,"DEV",IF($H$25+E41&gt;$C$25,"QA","Aucune")))</x:f>
        <x:v>Aucune</x:v>
      </x:c>
    </x:row>
    <x:row r="42" ht="25" customHeight="1">
      <x:c r="B42" s="2" t="str">
        <x:v>DEV +8 h</x:v>
      </x:c>
      <x:c r="C42" s="18" t="n">
        <x:v>0</x:v>
      </x:c>
      <x:c r="D42" s="18" t="n">
        <x:v>8</x:v>
      </x:c>
      <x:c r="E42" s="18" t="n">
        <x:v>0</x:v>
      </x:c>
      <x:c r="F42" s="20" t="n">
        <x:f>$C$16+C42*$D$23+D42*$D$24+E42*$D$25</x:f>
        <x:v>4745</x:v>
      </x:c>
      <x:c r="G42" s="20" t="n">
        <x:f>$C$18-F42</x:f>
        <x:v>-48</x:v>
      </x:c>
      <x:c r="H42" s="2" t="str">
        <x:f>IF($H$23+C42&gt;$C$23,"CP",IF($H$24+D42&gt;$C$24,"DEV",IF($H$25+E42&gt;$C$25,"QA","Aucune")))</x:f>
        <x:v>Aucune</x:v>
      </x:c>
    </x:row>
    <x:row r="43" ht="25" customHeight="1">
      <x:c r="B43" s="2" t="str">
        <x:v>CP +2 h</x:v>
      </x:c>
      <x:c r="C43" s="18" t="n">
        <x:v>2</x:v>
      </x:c>
      <x:c r="D43" s="18" t="n">
        <x:v>0</x:v>
      </x:c>
      <x:c r="E43" s="18" t="n">
        <x:v>0</x:v>
      </x:c>
      <x:c r="F43" s="20" t="n">
        <x:f>$C$16+C43*$D$23+D43*$D$24+E43*$D$25</x:f>
        <x:v>4555</x:v>
      </x:c>
      <x:c r="G43" s="20" t="n">
        <x:f>$C$18-F43</x:f>
        <x:v>142</x:v>
      </x:c>
      <x:c r="H43" s="2" t="str">
        <x:f>IF($H$23+C43&gt;$C$23,"CP",IF($H$24+D43&gt;$C$24,"DEV",IF($H$25+E43&gt;$C$25,"QA","Aucune")))</x:f>
        <x:v>CP</x:v>
      </x:c>
    </x:row>
    <x:row r="44" ht="25" customHeight="1">
      <x:c r="B44" s="2" t="str">
        <x:v>Topo +16 h</x:v>
      </x:c>
      <x:c r="C44" s="18" t="n">
        <x:v>0</x:v>
      </x:c>
      <x:c r="D44" s="18" t="n">
        <x:v>12</x:v>
      </x:c>
      <x:c r="E44" s="18" t="n">
        <x:v>4</x:v>
      </x:c>
      <x:c r="F44" s="20" t="n">
        <x:f>$C$16+C44*$D$23+D44*$D$24+E44*$D$25</x:f>
        <x:v>5005</x:v>
      </x:c>
      <x:c r="G44" s="20" t="n">
        <x:f>$C$18-F44</x:f>
        <x:v>-308</x:v>
      </x:c>
      <x:c r="H44" s="2" t="str">
        <x:f>IF($H$23+C44&gt;$C$23,"CP",IF($H$24+D44&gt;$C$24,"DEV",IF($H$25+E44&gt;$C$25,"QA","Aucune")))</x:f>
        <x:v>DEV</x:v>
      </x:c>
    </x:row>
    <x:row r="45" ht="25" customHeight="1">
      <x:c r="B45" s="2"/>
      <x:c r="C45" s="2"/>
      <x:c r="D45" s="2"/>
      <x:c r="E45" s="2"/>
      <x:c r="F45" s="2"/>
      <x:c r="G45" s="2"/>
      <x:c r="H45" s="2"/>
    </x:row>
  </x:sheetData>
  <x:conditionalFormatting sqref="L23:L25">
    <x:cfRule type="cellIs" dxfId="0" priority="1" operator="greaterThan">
      <x:formula>$F$9</x:formula>
    </x:cfRule>
  </x:conditionalFormatting>
  <x:conditionalFormatting sqref="C19:C19">
    <x:cfRule type="cellIs" dxfId="1" priority="2" operator="lessThan">
      <x:formula>0</x:formula>
    </x:cfRule>
  </x:conditionalFormatting>
  <x:conditionalFormatting sqref="G40:G44">
    <x:cfRule type="cellIs" dxfId="2" priority="3" operator="less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8" hidden="0" customWidth="1"/>
    <x:col min="2" max="2" width="3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5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7" hidden="0" customWidth="1"/>
    <x:col min="14" max="14" width="12" hidden="0" customWidth="1"/>
  </x:cols>
  <x:sheetData>
    <x:row r="2" ht="34" customHeight="1">
      <x:c r="A2" s="2"/>
      <x:c r="B2" s="3" t="str">
        <x:v>Spity - Planning et charges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5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5" customHeight="1">
      <x:c r="A4" s="2"/>
      <x:c r="B4" s="4" t="str">
        <x:v>SIMULATION PÉDAGOGIQUE - état à J10, horizon de 15 jours ouvrés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25" customHeight="1">
      <x:c r="A5" s="2"/>
      <x:c r="B5" s="4" t="str">
        <x:v>Les jours, charges, taux et réunions du cas ne sont pas des observations historiques.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</x:row>
    <x:row r="7" ht="25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 ht="36" customHeight="1">
      <x:c r="A8" s="7" t="str">
        <x:v>ID</x:v>
      </x:c>
      <x:c r="B8" s="7" t="str">
        <x:v>Tâche</x:v>
      </x:c>
      <x:c r="C8" s="7" t="str">
        <x:v>Rôle</x:v>
      </x:c>
      <x:c r="D8" s="7" t="str">
        <x:v>Début J</x:v>
      </x:c>
      <x:c r="E8" s="7" t="str">
        <x:v>Fin prévue J</x:v>
      </x:c>
      <x:c r="F8" s="7" t="str">
        <x:v>Fin revue J</x:v>
      </x:c>
      <x:c r="G8" s="7" t="str">
        <x:v>Statut</x:v>
      </x:c>
      <x:c r="H8" s="7" t="str">
        <x:v>Prévu h</x:v>
      </x:c>
      <x:c r="I8" s="7" t="str">
        <x:v>Consommé h</x:v>
      </x:c>
      <x:c r="J8" s="7" t="str">
        <x:v>Restant h</x:v>
      </x:c>
      <x:c r="K8" s="7" t="str">
        <x:v>Prévision h</x:v>
      </x:c>
      <x:c r="L8" s="7" t="str">
        <x:v>Écart h</x:v>
      </x:c>
      <x:c r="M8" s="7" t="str">
        <x:v>Prérequis</x:v>
      </x:c>
      <x:c r="N8" s="7" t="str">
        <x:v>Retard j</x:v>
      </x:c>
    </x:row>
    <x:row r="9" ht="25" customHeight="1">
      <x:c r="A9" s="2" t="str">
        <x:v>T01</x:v>
      </x:c>
      <x:c r="B9" s="2" t="str">
        <x:v>Cadrage et périmètre</x:v>
      </x:c>
      <x:c r="C9" s="2" t="str">
        <x:v>CP</x:v>
      </x:c>
      <x:c r="D9" s="23" t="n">
        <x:v>1</x:v>
      </x:c>
      <x:c r="E9" s="23" t="n">
        <x:v>2</x:v>
      </x:c>
      <x:c r="F9" s="23" t="n">
        <x:v>2</x:v>
      </x:c>
      <x:c r="G9" s="18" t="str">
        <x:v>Terminé</x:v>
      </x:c>
      <x:c r="H9" s="10" t="n">
        <x:f>IF(COUNT('Estimations'!$E$9:$E$38)=30,SUMIFS('Estimations'!$E$9:$E$38,'Estimations'!$B$9:$B$38,A9),NA())</x:f>
        <x:v>6</x:v>
      </x:c>
      <x:c r="I9" s="10" t="n">
        <x:f>IF(COUNT('Estimations'!$F$9:$F$38)=30,SUMIFS('Estimations'!$F$9:$F$38,'Estimations'!$B$9:$B$38,A9),NA())</x:f>
        <x:v>6</x:v>
      </x:c>
      <x:c r="J9" s="10" t="n">
        <x:f>IF(COUNT('Estimations'!$G$9:$G$38)=30,SUMIFS('Estimations'!$G$9:$G$38,'Estimations'!$B$9:$B$38,A9),NA())</x:f>
        <x:v>0</x:v>
      </x:c>
      <x:c r="K9" s="2" t="n">
        <x:f>IF(COUNT(I9:J9)=2,SUM(I9:J9),NA())</x:f>
        <x:v>6</x:v>
      </x:c>
      <x:c r="L9" s="2" t="n">
        <x:f>K9-H9</x:f>
        <x:v>0</x:v>
      </x:c>
      <x:c r="M9" s="21" t="str">
        <x:v>Aucun</x:v>
      </x:c>
      <x:c r="N9" s="21" t="n">
        <x:f>F9-E9</x:f>
        <x:v>0</x:v>
      </x:c>
    </x:row>
    <x:row r="10" ht="25" customHeight="1">
      <x:c r="A10" s="2" t="str">
        <x:v>T02</x:v>
      </x:c>
      <x:c r="B10" s="2" t="str">
        <x:v>Besoins et critères de recette</x:v>
      </x:c>
      <x:c r="C10" s="2" t="str">
        <x:v>QA</x:v>
      </x:c>
      <x:c r="D10" s="23" t="n">
        <x:v>1</x:v>
      </x:c>
      <x:c r="E10" s="23" t="n">
        <x:v>3</x:v>
      </x:c>
      <x:c r="F10" s="23" t="n">
        <x:v>3</x:v>
      </x:c>
      <x:c r="G10" s="18" t="str">
        <x:v>Terminé</x:v>
      </x:c>
      <x:c r="H10" s="10" t="n">
        <x:f>IF(COUNT('Estimations'!$E$9:$E$38)=30,SUMIFS('Estimations'!$E$9:$E$38,'Estimations'!$B$9:$B$38,A10),NA())</x:f>
        <x:v>8</x:v>
      </x:c>
      <x:c r="I10" s="10" t="n">
        <x:f>IF(COUNT('Estimations'!$F$9:$F$38)=30,SUMIFS('Estimations'!$F$9:$F$38,'Estimations'!$B$9:$B$38,A10),NA())</x:f>
        <x:v>8</x:v>
      </x:c>
      <x:c r="J10" s="10" t="n">
        <x:f>IF(COUNT('Estimations'!$G$9:$G$38)=30,SUMIFS('Estimations'!$G$9:$G$38,'Estimations'!$B$9:$B$38,A10),NA())</x:f>
        <x:v>0</x:v>
      </x:c>
      <x:c r="K10" s="2" t="n">
        <x:f>IF(COUNT(I10:J10)=2,SUM(I10:J10),NA())</x:f>
        <x:v>8</x:v>
      </x:c>
      <x:c r="L10" s="2" t="n">
        <x:f>K10-H10</x:f>
        <x:v>0</x:v>
      </x:c>
      <x:c r="M10" s="21" t="str">
        <x:v>Aucun</x:v>
      </x:c>
      <x:c r="N10" s="21" t="n">
        <x:f>F10-E10</x:f>
        <x:v>0</x:v>
      </x:c>
    </x:row>
    <x:row r="11" ht="25" customHeight="1">
      <x:c r="A11" s="2" t="str">
        <x:v>T03</x:v>
      </x:c>
      <x:c r="B11" s="2" t="str">
        <x:v>Planning et ressources</x:v>
      </x:c>
      <x:c r="C11" s="2" t="str">
        <x:v>CP</x:v>
      </x:c>
      <x:c r="D11" s="23" t="n">
        <x:v>2</x:v>
      </x:c>
      <x:c r="E11" s="23" t="n">
        <x:v>3</x:v>
      </x:c>
      <x:c r="F11" s="23" t="n">
        <x:v>4</x:v>
      </x:c>
      <x:c r="G11" s="18" t="str">
        <x:v>Terminé</x:v>
      </x:c>
      <x:c r="H11" s="10" t="n">
        <x:f>IF(COUNT('Estimations'!$E$9:$E$38)=30,SUMIFS('Estimations'!$E$9:$E$38,'Estimations'!$B$9:$B$38,A11),NA())</x:f>
        <x:v>6</x:v>
      </x:c>
      <x:c r="I11" s="10" t="n">
        <x:f>IF(COUNT('Estimations'!$F$9:$F$38)=30,SUMIFS('Estimations'!$F$9:$F$38,'Estimations'!$B$9:$B$38,A11),NA())</x:f>
        <x:v>7</x:v>
      </x:c>
      <x:c r="J11" s="10" t="n">
        <x:f>IF(COUNT('Estimations'!$G$9:$G$38)=30,SUMIFS('Estimations'!$G$9:$G$38,'Estimations'!$B$9:$B$38,A11),NA())</x:f>
        <x:v>0</x:v>
      </x:c>
      <x:c r="K11" s="2" t="n">
        <x:f>IF(COUNT(I11:J11)=2,SUM(I11:J11),NA())</x:f>
        <x:v>7</x:v>
      </x:c>
      <x:c r="L11" s="2" t="n">
        <x:f>K11-H11</x:f>
        <x:v>1</x:v>
      </x:c>
      <x:c r="M11" s="21" t="str">
        <x:v>Aucun</x:v>
      </x:c>
      <x:c r="N11" s="21" t="n">
        <x:f>F11-E11</x:f>
        <x:v>1</x:v>
      </x:c>
    </x:row>
    <x:row r="12" ht="25" customHeight="1">
      <x:c r="A12" s="2" t="str">
        <x:v>T04</x:v>
      </x:c>
      <x:c r="B12" s="2" t="str">
        <x:v>Accès et profils</x:v>
      </x:c>
      <x:c r="C12" s="2" t="str">
        <x:v>DEV</x:v>
      </x:c>
      <x:c r="D12" s="23" t="n">
        <x:v>3</x:v>
      </x:c>
      <x:c r="E12" s="23" t="n">
        <x:v>5</x:v>
      </x:c>
      <x:c r="F12" s="23" t="n">
        <x:v>6</x:v>
      </x:c>
      <x:c r="G12" s="18" t="str">
        <x:v>Terminé</x:v>
      </x:c>
      <x:c r="H12" s="10" t="n">
        <x:f>IF(COUNT('Estimations'!$E$9:$E$38)=30,SUMIFS('Estimations'!$E$9:$E$38,'Estimations'!$B$9:$B$38,A12),NA())</x:f>
        <x:v>18</x:v>
      </x:c>
      <x:c r="I12" s="10" t="n">
        <x:f>IF(COUNT('Estimations'!$F$9:$F$38)=30,SUMIFS('Estimations'!$F$9:$F$38,'Estimations'!$B$9:$B$38,A12),NA())</x:f>
        <x:v>20</x:v>
      </x:c>
      <x:c r="J12" s="10" t="n">
        <x:f>IF(COUNT('Estimations'!$G$9:$G$38)=30,SUMIFS('Estimations'!$G$9:$G$38,'Estimations'!$B$9:$B$38,A12),NA())</x:f>
        <x:v>0</x:v>
      </x:c>
      <x:c r="K12" s="2" t="n">
        <x:f>IF(COUNT(I12:J12)=2,SUM(I12:J12),NA())</x:f>
        <x:v>20</x:v>
      </x:c>
      <x:c r="L12" s="2" t="n">
        <x:f>K12-H12</x:f>
        <x:v>2</x:v>
      </x:c>
      <x:c r="M12" s="21" t="str">
        <x:v>T01</x:v>
      </x:c>
      <x:c r="N12" s="21" t="n">
        <x:f>F12-E12</x:f>
        <x:v>1</x:v>
      </x:c>
    </x:row>
    <x:row r="13" ht="25" customHeight="1">
      <x:c r="A13" s="2" t="str">
        <x:v>T05</x:v>
      </x:c>
      <x:c r="B13" s="2" t="str">
        <x:v>Matching et partenariats</x:v>
      </x:c>
      <x:c r="C13" s="2" t="str">
        <x:v>DEV</x:v>
      </x:c>
      <x:c r="D13" s="23" t="n">
        <x:v>6</x:v>
      </x:c>
      <x:c r="E13" s="23" t="n">
        <x:v>8</x:v>
      </x:c>
      <x:c r="F13" s="23" t="n">
        <x:v>8</x:v>
      </x:c>
      <x:c r="G13" s="18" t="str">
        <x:v>Terminé</x:v>
      </x:c>
      <x:c r="H13" s="10" t="n">
        <x:f>IF(COUNT('Estimations'!$E$9:$E$38)=30,SUMIFS('Estimations'!$E$9:$E$38,'Estimations'!$B$9:$B$38,A13),NA())</x:f>
        <x:v>16</x:v>
      </x:c>
      <x:c r="I13" s="10" t="n">
        <x:f>IF(COUNT('Estimations'!$F$9:$F$38)=30,SUMIFS('Estimations'!$F$9:$F$38,'Estimations'!$B$9:$B$38,A13),NA())</x:f>
        <x:v>16</x:v>
      </x:c>
      <x:c r="J13" s="10" t="n">
        <x:f>IF(COUNT('Estimations'!$G$9:$G$38)=30,SUMIFS('Estimations'!$G$9:$G$38,'Estimations'!$B$9:$B$38,A13),NA())</x:f>
        <x:v>0</x:v>
      </x:c>
      <x:c r="K13" s="2" t="n">
        <x:f>IF(COUNT(I13:J13)=2,SUM(I13:J13),NA())</x:f>
        <x:v>16</x:v>
      </x:c>
      <x:c r="L13" s="2" t="n">
        <x:f>K13-H13</x:f>
        <x:v>0</x:v>
      </x:c>
      <x:c r="M13" s="21" t="str">
        <x:v>T04</x:v>
      </x:c>
      <x:c r="N13" s="21" t="n">
        <x:f>F13-E13</x:f>
        <x:v>0</x:v>
      </x:c>
    </x:row>
    <x:row r="14" ht="25" customHeight="1">
      <x:c r="A14" s="2" t="str">
        <x:v>T06</x:v>
      </x:c>
      <x:c r="B14" s="2" t="str">
        <x:v>Événements et capacité</x:v>
      </x:c>
      <x:c r="C14" s="2" t="str">
        <x:v>DEV</x:v>
      </x:c>
      <x:c r="D14" s="23" t="n">
        <x:v>9</x:v>
      </x:c>
      <x:c r="E14" s="23" t="n">
        <x:v>11</x:v>
      </x:c>
      <x:c r="F14" s="23" t="n">
        <x:v>12</x:v>
      </x:c>
      <x:c r="G14" s="18" t="str">
        <x:v>En cours</x:v>
      </x:c>
      <x:c r="H14" s="10" t="n">
        <x:f>IF(COUNT('Estimations'!$E$9:$E$38)=30,SUMIFS('Estimations'!$E$9:$E$38,'Estimations'!$B$9:$B$38,A14),NA())</x:f>
        <x:v>18</x:v>
      </x:c>
      <x:c r="I14" s="10" t="n">
        <x:f>IF(COUNT('Estimations'!$F$9:$F$38)=30,SUMIFS('Estimations'!$F$9:$F$38,'Estimations'!$B$9:$B$38,A14),NA())</x:f>
        <x:v>10</x:v>
      </x:c>
      <x:c r="J14" s="10" t="n">
        <x:f>IF(COUNT('Estimations'!$G$9:$G$38)=30,SUMIFS('Estimations'!$G$9:$G$38,'Estimations'!$B$9:$B$38,A14),NA())</x:f>
        <x:v>10</x:v>
      </x:c>
      <x:c r="K14" s="2" t="n">
        <x:f>IF(COUNT(I14:J14)=2,SUM(I14:J14),NA())</x:f>
        <x:v>20</x:v>
      </x:c>
      <x:c r="L14" s="2" t="n">
        <x:f>K14-H14</x:f>
        <x:v>2</x:v>
      </x:c>
      <x:c r="M14" s="21" t="str">
        <x:v>T05</x:v>
      </x:c>
      <x:c r="N14" s="21" t="n">
        <x:f>F14-E14</x:f>
        <x:v>1</x:v>
      </x:c>
    </x:row>
    <x:row r="15" ht="25" customHeight="1">
      <x:c r="A15" s="2" t="str">
        <x:v>T07</x:v>
      </x:c>
      <x:c r="B15" s="2" t="str">
        <x:v>Recette et accessibilité</x:v>
      </x:c>
      <x:c r="C15" s="2" t="str">
        <x:v>QA</x:v>
      </x:c>
      <x:c r="D15" s="23" t="n">
        <x:v>10</x:v>
      </x:c>
      <x:c r="E15" s="23" t="n">
        <x:v>13</x:v>
      </x:c>
      <x:c r="F15" s="23" t="n">
        <x:v>14</x:v>
      </x:c>
      <x:c r="G15" s="18" t="str">
        <x:v>En cours</x:v>
      </x:c>
      <x:c r="H15" s="10" t="n">
        <x:f>IF(COUNT('Estimations'!$E$9:$E$38)=30,SUMIFS('Estimations'!$E$9:$E$38,'Estimations'!$B$9:$B$38,A15),NA())</x:f>
        <x:v>14</x:v>
      </x:c>
      <x:c r="I15" s="10" t="n">
        <x:f>IF(COUNT('Estimations'!$F$9:$F$38)=30,SUMIFS('Estimations'!$F$9:$F$38,'Estimations'!$B$9:$B$38,A15),NA())</x:f>
        <x:v>4</x:v>
      </x:c>
      <x:c r="J15" s="10" t="n">
        <x:f>IF(COUNT('Estimations'!$G$9:$G$38)=30,SUMIFS('Estimations'!$G$9:$G$38,'Estimations'!$B$9:$B$38,A15),NA())</x:f>
        <x:v>12</x:v>
      </x:c>
      <x:c r="K15" s="2" t="n">
        <x:f>IF(COUNT(I15:J15)=2,SUM(I15:J15),NA())</x:f>
        <x:v>16</x:v>
      </x:c>
      <x:c r="L15" s="2" t="n">
        <x:f>K15-H15</x:f>
        <x:v>2</x:v>
      </x:c>
      <x:c r="M15" s="21" t="str">
        <x:v>T02, T05</x:v>
      </x:c>
      <x:c r="N15" s="21" t="n">
        <x:f>F15-E15</x:f>
        <x:v>1</x:v>
      </x:c>
    </x:row>
    <x:row r="16" ht="25" customHeight="1">
      <x:c r="A16" s="2" t="str">
        <x:v>T08</x:v>
      </x:c>
      <x:c r="B16" s="2" t="str">
        <x:v>Suivi et validations client</x:v>
      </x:c>
      <x:c r="C16" s="2" t="str">
        <x:v>CP</x:v>
      </x:c>
      <x:c r="D16" s="23" t="n">
        <x:v>1</x:v>
      </x:c>
      <x:c r="E16" s="23" t="n">
        <x:v>14</x:v>
      </x:c>
      <x:c r="F16" s="23" t="n">
        <x:v>14</x:v>
      </x:c>
      <x:c r="G16" s="18" t="str">
        <x:v>En cours</x:v>
      </x:c>
      <x:c r="H16" s="10" t="n">
        <x:f>IF(COUNT('Estimations'!$E$9:$E$38)=30,SUMIFS('Estimations'!$E$9:$E$38,'Estimations'!$B$9:$B$38,A16),NA())</x:f>
        <x:v>8</x:v>
      </x:c>
      <x:c r="I16" s="10" t="n">
        <x:f>IF(COUNT('Estimations'!$F$9:$F$38)=30,SUMIFS('Estimations'!$F$9:$F$38,'Estimations'!$B$9:$B$38,A16),NA())</x:f>
        <x:v>6</x:v>
      </x:c>
      <x:c r="J16" s="10" t="n">
        <x:f>IF(COUNT('Estimations'!$G$9:$G$38)=30,SUMIFS('Estimations'!$G$9:$G$38,'Estimations'!$B$9:$B$38,A16),NA())</x:f>
        <x:v>2</x:v>
      </x:c>
      <x:c r="K16" s="2" t="n">
        <x:f>IF(COUNT(I16:J16)=2,SUM(I16:J16),NA())</x:f>
        <x:v>8</x:v>
      </x:c>
      <x:c r="L16" s="2" t="n">
        <x:f>K16-H16</x:f>
        <x:v>0</x:v>
      </x:c>
      <x:c r="M16" s="21" t="str">
        <x:v>Aucun</x:v>
      </x:c>
      <x:c r="N16" s="21" t="n">
        <x:f>F16-E16</x:f>
        <x:v>0</x:v>
      </x:c>
    </x:row>
    <x:row r="17" ht="25" customHeight="1">
      <x:c r="A17" s="2" t="str">
        <x:v>T09</x:v>
      </x:c>
      <x:c r="B17" s="2" t="str">
        <x:v>Restitution et démonstration</x:v>
      </x:c>
      <x:c r="C17" s="2" t="str">
        <x:v>CP</x:v>
      </x:c>
      <x:c r="D17" s="23" t="n">
        <x:v>14</x:v>
      </x:c>
      <x:c r="E17" s="23" t="n">
        <x:v>15</x:v>
      </x:c>
      <x:c r="F17" s="23" t="n">
        <x:v>15</x:v>
      </x:c>
      <x:c r="G17" s="18" t="str">
        <x:v>À faire</x:v>
      </x:c>
      <x:c r="H17" s="10" t="n">
        <x:f>IF(COUNT('Estimations'!$E$9:$E$38)=30,SUMIFS('Estimations'!$E$9:$E$38,'Estimations'!$B$9:$B$38,A17),NA())</x:f>
        <x:v>8</x:v>
      </x:c>
      <x:c r="I17" s="10" t="n">
        <x:f>IF(COUNT('Estimations'!$F$9:$F$38)=30,SUMIFS('Estimations'!$F$9:$F$38,'Estimations'!$B$9:$B$38,A17),NA())</x:f>
        <x:v>0</x:v>
      </x:c>
      <x:c r="J17" s="10" t="n">
        <x:f>IF(COUNT('Estimations'!$G$9:$G$38)=30,SUMIFS('Estimations'!$G$9:$G$38,'Estimations'!$B$9:$B$38,A17),NA())</x:f>
        <x:v>8</x:v>
      </x:c>
      <x:c r="K17" s="2" t="n">
        <x:f>IF(COUNT(I17:J17)=2,SUM(I17:J17),NA())</x:f>
        <x:v>8</x:v>
      </x:c>
      <x:c r="L17" s="2" t="n">
        <x:f>K17-H17</x:f>
        <x:v>0</x:v>
      </x:c>
      <x:c r="M17" s="21" t="str">
        <x:v>T07</x:v>
      </x:c>
      <x:c r="N17" s="21" t="n">
        <x:f>F17-E17</x:f>
        <x:v>0</x:v>
      </x:c>
    </x:row>
    <x:row r="18" ht="25" customHeight="1">
      <x:c r="A18" s="2" t="str">
        <x:v>T10</x:v>
      </x:c>
      <x:c r="B18" s="2" t="str">
        <x:v>Corrections de recette</x:v>
      </x:c>
      <x:c r="C18" s="2" t="str">
        <x:v>DEV</x:v>
      </x:c>
      <x:c r="D18" s="23" t="n">
        <x:v>12</x:v>
      </x:c>
      <x:c r="E18" s="23" t="n">
        <x:v>14</x:v>
      </x:c>
      <x:c r="F18" s="23" t="n">
        <x:v>14</x:v>
      </x:c>
      <x:c r="G18" s="18" t="str">
        <x:v>À faire</x:v>
      </x:c>
      <x:c r="H18" s="10" t="n">
        <x:f>IF(COUNT('Estimations'!$E$9:$E$38)=30,SUMIFS('Estimations'!$E$9:$E$38,'Estimations'!$B$9:$B$38,A18),NA())</x:f>
        <x:v>10</x:v>
      </x:c>
      <x:c r="I18" s="10" t="n">
        <x:f>IF(COUNT('Estimations'!$F$9:$F$38)=30,SUMIFS('Estimations'!$F$9:$F$38,'Estimations'!$B$9:$B$38,A18),NA())</x:f>
        <x:v>0</x:v>
      </x:c>
      <x:c r="J18" s="10" t="n">
        <x:f>IF(COUNT('Estimations'!$G$9:$G$38)=30,SUMIFS('Estimations'!$G$9:$G$38,'Estimations'!$B$9:$B$38,A18),NA())</x:f>
        <x:v>8</x:v>
      </x:c>
      <x:c r="K18" s="2" t="n">
        <x:f>IF(COUNT(I18:J18)=2,SUM(I18:J18),NA())</x:f>
        <x:v>8</x:v>
      </x:c>
      <x:c r="L18" s="2" t="n">
        <x:f>K18-H18</x:f>
        <x:v>-2</x:v>
      </x:c>
      <x:c r="M18" s="21" t="str">
        <x:v>T06</x:v>
      </x:c>
      <x:c r="N18" s="21" t="n">
        <x:f>F18-E18</x:f>
        <x:v>0</x:v>
      </x:c>
    </x:row>
    <x:row r="19" ht="2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25" customHeight="1">
      <x:c r="A20" s="2"/>
      <x:c r="B20" s="2" t="str">
        <x:v>Charges calculées depuis les 30 activités de la feuille Estimations. Modifier cette feuille source.</x:v>
      </x:c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25" customHeight="1">
      <x:c r="A21" s="2"/>
      <x:c r="B21" s="2" t="str">
        <x:v>La clôture de T07 requiert aussi les vérifications de T06 et T10. Les jalons sont décrits dans A01.</x:v>
      </x:c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</x:sheetData>
  <x:conditionalFormatting sqref="L9:L18">
    <x:cfRule type="cellIs" dxfId="3" priority="1" operator="greaterThan">
      <x:formula>0</x:formula>
    </x:cfRule>
  </x:conditionalFormatting>
  <x:conditionalFormatting sqref="N9:N18">
    <x:cfRule type="cellIs" dxfId="4" priority="2" operator="greaterThan">
      <x:formula>0</x:formula>
    </x:cfRule>
  </x:conditionalFormatting>
  <x:dataValidations count="2">
    <x:dataValidation type="list" sqref="G9:G18">
      <x:formula1>"À faire,En cours,À vérifier,Terminé"</x:formula1>
    </x:dataValidation>
    <x:dataValidation type="list" sqref="C9:C18">
      <x:formula1>"CP,DEV,QA"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48" hidden="0" customWidth="1"/>
    <x:col min="8" max="8" width="48" hidden="0" customWidth="1"/>
  </x:cols>
  <x:sheetData>
    <x:row r="2" ht="34" customHeight="1">
      <x:c r="A2" s="2"/>
      <x:c r="B2" s="3" t="str">
        <x:v>Spity - Registre des risques</x:v>
      </x:c>
      <x:c r="C2" s="2"/>
      <x:c r="D2" s="2"/>
      <x:c r="E2" s="2"/>
      <x:c r="F2" s="2"/>
      <x:c r="G2" s="2"/>
      <x:c r="H2" s="2"/>
    </x:row>
    <x:row r="3" ht="25" customHeight="1">
      <x:c r="A3" s="2"/>
      <x:c r="B3" s="2"/>
      <x:c r="C3" s="2"/>
      <x:c r="D3" s="2"/>
      <x:c r="E3" s="2"/>
      <x:c r="F3" s="2"/>
      <x:c r="G3" s="2"/>
      <x:c r="H3" s="2"/>
    </x:row>
    <x:row r="4" ht="25" customHeight="1">
      <x:c r="A4" s="2"/>
      <x:c r="B4" s="4" t="str">
        <x:v>SIMULATION PÉDAGOGIQUE - état à J10, horizon de 15 jours ouvrés</x:v>
      </x:c>
      <x:c r="C4" s="2"/>
      <x:c r="D4" s="2"/>
      <x:c r="E4" s="2"/>
      <x:c r="F4" s="2"/>
      <x:c r="G4" s="2"/>
      <x:c r="H4" s="2"/>
    </x:row>
    <x:row r="5" ht="25" customHeight="1">
      <x:c r="A5" s="2"/>
      <x:c r="B5" s="4" t="str">
        <x:v>Les jours, charges, taux et réunions du cas ne sont pas des observations historiques.</x:v>
      </x:c>
      <x:c r="C5" s="2"/>
      <x:c r="D5" s="2"/>
      <x:c r="E5" s="2"/>
      <x:c r="F5" s="2"/>
      <x:c r="G5" s="2"/>
      <x:c r="H5" s="2"/>
    </x:row>
    <x:row r="6" ht="25" customHeight="1">
      <x:c r="A6" s="2"/>
      <x:c r="B6" s="2"/>
      <x:c r="C6" s="2"/>
      <x:c r="D6" s="2"/>
      <x:c r="E6" s="2"/>
      <x:c r="F6" s="2"/>
      <x:c r="G6" s="2"/>
      <x:c r="H6" s="2"/>
    </x:row>
    <x:row r="7" ht="25" customHeight="1">
      <x:c r="A7" s="2"/>
      <x:c r="B7" s="2"/>
      <x:c r="C7" s="2"/>
      <x:c r="D7" s="2"/>
      <x:c r="E7" s="2"/>
      <x:c r="F7" s="2"/>
      <x:c r="G7" s="2"/>
      <x:c r="H7" s="2"/>
    </x:row>
    <x:row r="8" ht="36" customHeight="1">
      <x:c r="A8" s="7" t="str">
        <x:v>ID</x:v>
      </x:c>
      <x:c r="B8" s="7" t="str">
        <x:v>Risque</x:v>
      </x:c>
      <x:c r="C8" s="7" t="str">
        <x:v>Probabilité</x:v>
      </x:c>
      <x:c r="D8" s="7" t="str">
        <x:v>Impact</x:v>
      </x:c>
      <x:c r="E8" s="7" t="str">
        <x:v>Score</x:v>
      </x:c>
      <x:c r="F8" s="7" t="str">
        <x:v>Pilote</x:v>
      </x:c>
      <x:c r="G8" s="7" t="str">
        <x:v>Réponse</x:v>
      </x:c>
      <x:c r="H8" s="7" t="str">
        <x:v>Déclencheur</x:v>
      </x:c>
    </x:row>
    <x:row r="9" ht="72" customHeight="1">
      <x:c r="A9" s="2" t="str">
        <x:v>R01</x:v>
      </x:c>
      <x:c r="B9" s="25" t="str">
        <x:v>Environnement de démonstration indisponible</x:v>
      </x:c>
      <x:c r="C9" s="18" t="n">
        <x:v>3</x:v>
      </x:c>
      <x:c r="D9" s="18" t="n">
        <x:v>3</x:v>
      </x:c>
      <x:c r="E9" s="2" t="n">
        <x:f>IF(COUNT(C9:D9)=2,C9*D9,NA())</x:f>
        <x:v>9</x:v>
      </x:c>
      <x:c r="F9" s="2" t="str">
        <x:v>CP</x:v>
      </x:c>
      <x:c r="G9" s="25" t="str">
        <x:v>Tester l'installation à J12, répéter à J14 et conserver des captures datées de secours</x:v>
      </x:c>
      <x:c r="H9" s="25" t="str">
        <x:v>Sonde de santé indisponible ou base inaccessible</x:v>
      </x:c>
    </x:row>
    <x:row r="10" ht="72" customHeight="1">
      <x:c r="A10" s="2" t="str">
        <x:v>R02</x:v>
      </x:c>
      <x:c r="B10" s="25" t="str">
        <x:v>Surcharge du chef de projet</x:v>
      </x:c>
      <x:c r="C10" s="18" t="n">
        <x:v>2</x:v>
      </x:c>
      <x:c r="D10" s="18" t="n">
        <x:v>3</x:v>
      </x:c>
      <x:c r="E10" s="2" t="n">
        <x:f>IF(COUNT(C10:D10)=2,C10*D10,NA())</x:f>
        <x:v>6</x:v>
      </x:c>
      <x:c r="F10" s="2" t="str">
        <x:v>CP</x:v>
      </x:c>
      <x:c r="G10" s="25" t="str">
        <x:v>Limiter le travail simultané et faire préparer la grille de recette par QA</x:v>
      </x:c>
      <x:c r="H10" s="25" t="str">
        <x:v>Prévision de charge supérieure à 90 % de la capacité</x:v>
      </x:c>
    </x:row>
    <x:row r="11" ht="72" customHeight="1">
      <x:c r="A11" s="2" t="str">
        <x:v>R03</x:v>
      </x:c>
      <x:c r="B11" s="25" t="str">
        <x:v>Ajout tardif de contributions aux topos</x:v>
      </x:c>
      <x:c r="C11" s="18" t="n">
        <x:v>2</x:v>
      </x:c>
      <x:c r="D11" s="18" t="n">
        <x:v>3</x:v>
      </x:c>
      <x:c r="E11" s="2" t="n">
        <x:f>IF(COUNT(C11:D11)=2,C11*D11,NA())</x:f>
        <x:v>6</x:v>
      </x:c>
      <x:c r="F11" s="2" t="str">
        <x:v>CP</x:v>
      </x:c>
      <x:c r="G11" s="25" t="str">
        <x:v>Reporter ce lot après la démonstration et consigner la décision client simulée</x:v>
      </x:c>
      <x:c r="H11" s="25" t="str">
        <x:v>Nouvelle demande sans capacité ni recette disponible</x:v>
      </x:c>
    </x:row>
    <x:row r="12" ht="72" customHeight="1">
      <x:c r="A12" s="2" t="str">
        <x:v>R04</x:v>
      </x:c>
      <x:c r="B12" s="25" t="str">
        <x:v>Défaut de capacité des événements</x:v>
      </x:c>
      <x:c r="C12" s="18" t="n">
        <x:v>2</x:v>
      </x:c>
      <x:c r="D12" s="18" t="n">
        <x:v>3</x:v>
      </x:c>
      <x:c r="E12" s="2" t="n">
        <x:f>IF(COUNT(C12:D12)=2,C12*D12,NA())</x:f>
        <x:v>6</x:v>
      </x:c>
      <x:c r="F12" s="2" t="str">
        <x:v>DEV</x:v>
      </x:c>
      <x:c r="G12" s="25" t="str">
        <x:v>Vérifier l'inscription concurrente et les refus d'accès</x:v>
      </x:c>
      <x:c r="H12" s="25" t="str">
        <x:v>Deux inscriptions acceptées sur la dernière place</x:v>
      </x:c>
    </x:row>
    <x:row r="13" ht="72" customHeight="1">
      <x:c r="A13" s="2" t="str">
        <x:v>R05</x:v>
      </x:c>
      <x:c r="B13" s="25" t="str">
        <x:v>Consignes de dépôt non confirmées</x:v>
      </x:c>
      <x:c r="C13" s="18" t="n">
        <x:v>2</x:v>
      </x:c>
      <x:c r="D13" s="18" t="n">
        <x:v>3</x:v>
      </x:c>
      <x:c r="E13" s="2" t="n">
        <x:f>IF(COUNT(C13:D13)=2,C13*D13,NA())</x:f>
        <x:v>6</x:v>
      </x:c>
      <x:c r="F13" s="2" t="str">
        <x:v>CP</x:v>
      </x:c>
      <x:c r="G13" s="25" t="str">
        <x:v>Consulter la convocation et le règlement spécial avant le dépôt</x:v>
      </x:c>
      <x:c r="H13" s="25" t="str">
        <x:v>Date limite ou livrable demandé non identifié</x:v>
      </x:c>
    </x:row>
    <x:row r="14" ht="25" customHeight="1">
      <x:c r="A14" s="2"/>
      <x:c r="B14" s="2"/>
      <x:c r="C14" s="2"/>
      <x:c r="D14" s="2"/>
      <x:c r="E14" s="2"/>
      <x:c r="F14" s="2"/>
      <x:c r="G14" s="2"/>
      <x:c r="H14" s="2"/>
    </x:row>
    <x:row r="15" ht="25" customHeight="1">
      <x:c r="A15" s="2"/>
      <x:c r="B15" s="2" t="str">
        <x:v>Source : hypothèses du cas. Échelle de 1 (faible) à 3 (fort) ; revue des scores 6 ou 9.</x:v>
      </x:c>
      <x:c r="C15" s="2"/>
      <x:c r="D15" s="2"/>
      <x:c r="E15" s="2"/>
      <x:c r="F15" s="2"/>
      <x:c r="G15" s="2"/>
      <x:c r="H15" s="2"/>
    </x:row>
  </x:sheetData>
  <x:conditionalFormatting sqref="E9:E13">
    <x:cfRule type="cellIs" dxfId="5" priority="1" operator="greaterThanOrEqual">
      <x:formula>6</x:formula>
    </x:cfRule>
  </x:conditionalFormatting>
  <x:dataValidations count="1">
    <x:dataValidation type="whole" operator="between" sqref="C9:D13">
      <x:formula1>1</x:formula1>
      <x:formula2>3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0" hidden="0" customWidth="1"/>
    <x:col min="2" max="2" width="10" hidden="0" customWidth="1"/>
    <x:col min="3" max="3" width="10" hidden="0" customWidth="1"/>
    <x:col min="4" max="4" width="5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</x:cols>
  <x:sheetData>
    <x:row r="2" ht="34" customHeight="1">
      <x:c r="A2" s="2"/>
      <x:c r="B2" s="3" t="str">
        <x:v>Spity - Détail des estimations</x:v>
      </x:c>
      <x:c r="C2" s="2"/>
      <x:c r="D2" s="2"/>
      <x:c r="E2" s="2"/>
      <x:c r="F2" s="2"/>
      <x:c r="G2" s="2"/>
      <x:c r="H2" s="2"/>
      <x:c r="I2" s="2"/>
    </x:row>
    <x:row r="3" ht="25" customHeight="1">
      <x:c r="A3" s="2"/>
      <x:c r="B3" s="2"/>
      <x:c r="C3" s="2"/>
      <x:c r="D3" s="2"/>
      <x:c r="E3" s="2"/>
      <x:c r="F3" s="2"/>
      <x:c r="G3" s="2"/>
      <x:c r="H3" s="2"/>
      <x:c r="I3" s="2"/>
    </x:row>
    <x:row r="4" ht="25" customHeight="1">
      <x:c r="A4" s="2"/>
      <x:c r="B4" s="4" t="str">
        <x:v>SIMULATION PÉDAGOGIQUE - état à J10, horizon de 15 jours ouvrés</x:v>
      </x:c>
      <x:c r="C4" s="2"/>
      <x:c r="D4" s="2"/>
      <x:c r="E4" s="2"/>
      <x:c r="F4" s="2"/>
      <x:c r="G4" s="2"/>
      <x:c r="H4" s="2"/>
      <x:c r="I4" s="2"/>
    </x:row>
    <x:row r="5" ht="25" customHeight="1">
      <x:c r="A5" s="2"/>
      <x:c r="B5" s="4" t="str">
        <x:v>Les jours, charges, taux et réunions du cas ne sont pas des observations historiques.</x:v>
      </x:c>
      <x:c r="C5" s="2"/>
      <x:c r="D5" s="2"/>
      <x:c r="E5" s="2"/>
      <x:c r="F5" s="2"/>
      <x:c r="G5" s="2"/>
      <x:c r="H5" s="2"/>
      <x:c r="I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</x:row>
    <x:row r="7" ht="25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6" customHeight="1">
      <x:c r="A8" s="7" t="str">
        <x:v>ID</x:v>
      </x:c>
      <x:c r="B8" s="7" t="str">
        <x:v>Tâche</x:v>
      </x:c>
      <x:c r="C8" s="7" t="str">
        <x:v>Rôle</x:v>
      </x:c>
      <x:c r="D8" s="7" t="str">
        <x:v>Activité du scénario</x:v>
      </x:c>
      <x:c r="E8" s="7" t="str">
        <x:v>Prévu h</x:v>
      </x:c>
      <x:c r="F8" s="7" t="str">
        <x:v>Consommé h</x:v>
      </x:c>
      <x:c r="G8" s="7" t="str">
        <x:v>Restant h</x:v>
      </x:c>
      <x:c r="H8" s="7" t="str">
        <x:v>Prévision h</x:v>
      </x:c>
      <x:c r="I8" s="7" t="str">
        <x:v>Écart h</x:v>
      </x:c>
    </x:row>
    <x:row r="9" ht="25" customHeight="1">
      <x:c r="A9" s="2" t="str">
        <x:v>T01.1</x:v>
      </x:c>
      <x:c r="B9" s="2" t="str">
        <x:v>T01</x:v>
      </x:c>
      <x:c r="C9" s="2" t="str">
        <x:v>CP</x:v>
      </x:c>
      <x:c r="D9" s="2" t="str">
        <x:v>Cadrer les deux parcours</x:v>
      </x:c>
      <x:c r="E9" s="18" t="n">
        <x:v>2</x:v>
      </x:c>
      <x:c r="F9" s="18" t="n">
        <x:v>2</x:v>
      </x:c>
      <x:c r="G9" s="18" t="n">
        <x:v>0</x:v>
      </x:c>
      <x:c r="H9" s="2" t="n">
        <x:f>IF(COUNT(F9:G9)=2,SUM(F9:G9),NA())</x:f>
        <x:v>2</x:v>
      </x:c>
      <x:c r="I9" s="2" t="n">
        <x:f>H9-E9</x:f>
        <x:v>0</x:v>
      </x:c>
    </x:row>
    <x:row r="10" ht="25" customHeight="1">
      <x:c r="A10" s="2" t="str">
        <x:v>T01.2</x:v>
      </x:c>
      <x:c r="B10" s="2" t="str">
        <x:v>T01</x:v>
      </x:c>
      <x:c r="C10" s="2" t="str">
        <x:v>CP</x:v>
      </x:c>
      <x:c r="D10" s="2" t="str">
        <x:v>Fixer inclusions et exclusions</x:v>
      </x:c>
      <x:c r="E10" s="18" t="n">
        <x:v>2</x:v>
      </x:c>
      <x:c r="F10" s="18" t="n">
        <x:v>2</x:v>
      </x:c>
      <x:c r="G10" s="18" t="n">
        <x:v>0</x:v>
      </x:c>
      <x:c r="H10" s="2" t="n">
        <x:f>IF(COUNT(F10:G10)=2,SUM(F10:G10),NA())</x:f>
        <x:v>2</x:v>
      </x:c>
      <x:c r="I10" s="2" t="n">
        <x:f>H10-E10</x:f>
        <x:v>0</x:v>
      </x:c>
    </x:row>
    <x:row r="11" ht="25" customHeight="1">
      <x:c r="A11" s="2" t="str">
        <x:v>T01.3</x:v>
      </x:c>
      <x:c r="B11" s="2" t="str">
        <x:v>T01</x:v>
      </x:c>
      <x:c r="C11" s="2" t="str">
        <x:v>CP</x:v>
      </x:c>
      <x:c r="D11" s="2" t="str">
        <x:v>Préparer les critères de décision</x:v>
      </x:c>
      <x:c r="E11" s="18" t="n">
        <x:v>2</x:v>
      </x:c>
      <x:c r="F11" s="18" t="n">
        <x:v>2</x:v>
      </x:c>
      <x:c r="G11" s="18" t="n">
        <x:v>0</x:v>
      </x:c>
      <x:c r="H11" s="2" t="n">
        <x:f>IF(COUNT(F11:G11)=2,SUM(F11:G11),NA())</x:f>
        <x:v>2</x:v>
      </x:c>
      <x:c r="I11" s="2" t="n">
        <x:f>H11-E11</x:f>
        <x:v>0</x:v>
      </x:c>
    </x:row>
    <x:row r="12" ht="25" customHeight="1">
      <x:c r="A12" s="2" t="str">
        <x:v>T02.1</x:v>
      </x:c>
      <x:c r="B12" s="2" t="str">
        <x:v>T02</x:v>
      </x:c>
      <x:c r="C12" s="2" t="str">
        <x:v>QA</x:v>
      </x:c>
      <x:c r="D12" s="2" t="str">
        <x:v>Écrire les cas grimpeur</x:v>
      </x:c>
      <x:c r="E12" s="18" t="n">
        <x:v>3</x:v>
      </x:c>
      <x:c r="F12" s="18" t="n">
        <x:v>3</x:v>
      </x:c>
      <x:c r="G12" s="18" t="n">
        <x:v>0</x:v>
      </x:c>
      <x:c r="H12" s="2" t="n">
        <x:f>IF(COUNT(F12:G12)=2,SUM(F12:G12),NA())</x:f>
        <x:v>3</x:v>
      </x:c>
      <x:c r="I12" s="2" t="n">
        <x:f>H12-E12</x:f>
        <x:v>0</x:v>
      </x:c>
    </x:row>
    <x:row r="13" ht="25" customHeight="1">
      <x:c r="A13" s="2" t="str">
        <x:v>T02.2</x:v>
      </x:c>
      <x:c r="B13" s="2" t="str">
        <x:v>T02</x:v>
      </x:c>
      <x:c r="C13" s="2" t="str">
        <x:v>QA</x:v>
      </x:c>
      <x:c r="D13" s="2" t="str">
        <x:v>Écrire les cas club</x:v>
      </x:c>
      <x:c r="E13" s="18" t="n">
        <x:v>3</x:v>
      </x:c>
      <x:c r="F13" s="18" t="n">
        <x:v>3</x:v>
      </x:c>
      <x:c r="G13" s="18" t="n">
        <x:v>0</x:v>
      </x:c>
      <x:c r="H13" s="2" t="n">
        <x:f>IF(COUNT(F13:G13)=2,SUM(F13:G13),NA())</x:f>
        <x:v>3</x:v>
      </x:c>
      <x:c r="I13" s="2" t="n">
        <x:f>H13-E13</x:f>
        <x:v>0</x:v>
      </x:c>
    </x:row>
    <x:row r="14" ht="25" customHeight="1">
      <x:c r="A14" s="2" t="str">
        <x:v>T02.3</x:v>
      </x:c>
      <x:c r="B14" s="2" t="str">
        <x:v>T02</x:v>
      </x:c>
      <x:c r="C14" s="2" t="str">
        <x:v>QA</x:v>
      </x:c>
      <x:c r="D14" s="2" t="str">
        <x:v>Définir les critères accessibles</x:v>
      </x:c>
      <x:c r="E14" s="18" t="n">
        <x:v>2</x:v>
      </x:c>
      <x:c r="F14" s="18" t="n">
        <x:v>2</x:v>
      </x:c>
      <x:c r="G14" s="18" t="n">
        <x:v>0</x:v>
      </x:c>
      <x:c r="H14" s="2" t="n">
        <x:f>IF(COUNT(F14:G14)=2,SUM(F14:G14),NA())</x:f>
        <x:v>2</x:v>
      </x:c>
      <x:c r="I14" s="2" t="n">
        <x:f>H14-E14</x:f>
        <x:v>0</x:v>
      </x:c>
    </x:row>
    <x:row r="15" ht="25" customHeight="1">
      <x:c r="A15" s="2" t="str">
        <x:v>T03.1</x:v>
      </x:c>
      <x:c r="B15" s="2" t="str">
        <x:v>T03</x:v>
      </x:c>
      <x:c r="C15" s="2" t="str">
        <x:v>CP</x:v>
      </x:c>
      <x:c r="D15" s="2" t="str">
        <x:v>Décomposer le lot</x:v>
      </x:c>
      <x:c r="E15" s="18" t="n">
        <x:v>2</x:v>
      </x:c>
      <x:c r="F15" s="18" t="n">
        <x:v>2</x:v>
      </x:c>
      <x:c r="G15" s="18" t="n">
        <x:v>0</x:v>
      </x:c>
      <x:c r="H15" s="2" t="n">
        <x:f>IF(COUNT(F15:G15)=2,SUM(F15:G15),NA())</x:f>
        <x:v>2</x:v>
      </x:c>
      <x:c r="I15" s="2" t="n">
        <x:f>H15-E15</x:f>
        <x:v>0</x:v>
      </x:c>
    </x:row>
    <x:row r="16" ht="25" customHeight="1">
      <x:c r="A16" s="2" t="str">
        <x:v>T03.2</x:v>
      </x:c>
      <x:c r="B16" s="2" t="str">
        <x:v>T03</x:v>
      </x:c>
      <x:c r="C16" s="2" t="str">
        <x:v>CP</x:v>
      </x:c>
      <x:c r="D16" s="2" t="str">
        <x:v>Ajuster les dépendances de recette</x:v>
      </x:c>
      <x:c r="E16" s="18" t="n">
        <x:v>2</x:v>
      </x:c>
      <x:c r="F16" s="18" t="n">
        <x:v>3</x:v>
      </x:c>
      <x:c r="G16" s="18" t="n">
        <x:v>0</x:v>
      </x:c>
      <x:c r="H16" s="2" t="n">
        <x:f>IF(COUNT(F16:G16)=2,SUM(F16:G16),NA())</x:f>
        <x:v>3</x:v>
      </x:c>
      <x:c r="I16" s="2" t="n">
        <x:f>H16-E16</x:f>
        <x:v>1</x:v>
      </x:c>
    </x:row>
    <x:row r="17" ht="25" customHeight="1">
      <x:c r="A17" s="2" t="str">
        <x:v>T03.3</x:v>
      </x:c>
      <x:c r="B17" s="2" t="str">
        <x:v>T03</x:v>
      </x:c>
      <x:c r="C17" s="2" t="str">
        <x:v>CP</x:v>
      </x:c>
      <x:c r="D17" s="2" t="str">
        <x:v>Affecter les responsabilités</x:v>
      </x:c>
      <x:c r="E17" s="18" t="n">
        <x:v>2</x:v>
      </x:c>
      <x:c r="F17" s="18" t="n">
        <x:v>2</x:v>
      </x:c>
      <x:c r="G17" s="18" t="n">
        <x:v>0</x:v>
      </x:c>
      <x:c r="H17" s="2" t="n">
        <x:f>IF(COUNT(F17:G17)=2,SUM(F17:G17),NA())</x:f>
        <x:v>2</x:v>
      </x:c>
      <x:c r="I17" s="2" t="n">
        <x:f>H17-E17</x:f>
        <x:v>0</x:v>
      </x:c>
    </x:row>
    <x:row r="18" ht="25" customHeight="1">
      <x:c r="A18" s="2" t="str">
        <x:v>T04.1</x:v>
      </x:c>
      <x:c r="B18" s="2" t="str">
        <x:v>T04</x:v>
      </x:c>
      <x:c r="C18" s="2" t="str">
        <x:v>DEV</x:v>
      </x:c>
      <x:c r="D18" s="2" t="str">
        <x:v>Vérifier les contrats accès et profils</x:v>
      </x:c>
      <x:c r="E18" s="18" t="n">
        <x:v>6</x:v>
      </x:c>
      <x:c r="F18" s="18" t="n">
        <x:v>6</x:v>
      </x:c>
      <x:c r="G18" s="18" t="n">
        <x:v>0</x:v>
      </x:c>
      <x:c r="H18" s="2" t="n">
        <x:f>IF(COUNT(F18:G18)=2,SUM(F18:G18),NA())</x:f>
        <x:v>6</x:v>
      </x:c>
      <x:c r="I18" s="2" t="n">
        <x:f>H18-E18</x:f>
        <x:v>0</x:v>
      </x:c>
    </x:row>
    <x:row r="19" ht="25" customHeight="1">
      <x:c r="A19" s="2" t="str">
        <x:v>T04.2</x:v>
      </x:c>
      <x:c r="B19" s="2" t="str">
        <x:v>T04</x:v>
      </x:c>
      <x:c r="C19" s="2" t="str">
        <x:v>DEV</x:v>
      </x:c>
      <x:c r="D19" s="2" t="str">
        <x:v>Stabiliser les contrôles de rôles</x:v>
      </x:c>
      <x:c r="E19" s="18" t="n">
        <x:v>7</x:v>
      </x:c>
      <x:c r="F19" s="18" t="n">
        <x:v>8</x:v>
      </x:c>
      <x:c r="G19" s="18" t="n">
        <x:v>0</x:v>
      </x:c>
      <x:c r="H19" s="2" t="n">
        <x:f>IF(COUNT(F19:G19)=2,SUM(F19:G19),NA())</x:f>
        <x:v>8</x:v>
      </x:c>
      <x:c r="I19" s="2" t="n">
        <x:f>H19-E19</x:f>
        <x:v>1</x:v>
      </x:c>
    </x:row>
    <x:row r="20" ht="25" customHeight="1">
      <x:c r="A20" s="2" t="str">
        <x:v>T04.3</x:v>
      </x:c>
      <x:c r="B20" s="2" t="str">
        <x:v>T04</x:v>
      </x:c>
      <x:c r="C20" s="2" t="str">
        <x:v>DEV</x:v>
      </x:c>
      <x:c r="D20" s="2" t="str">
        <x:v>Rejouer les cas de session et profil</x:v>
      </x:c>
      <x:c r="E20" s="18" t="n">
        <x:v>5</x:v>
      </x:c>
      <x:c r="F20" s="18" t="n">
        <x:v>6</x:v>
      </x:c>
      <x:c r="G20" s="18" t="n">
        <x:v>0</x:v>
      </x:c>
      <x:c r="H20" s="2" t="n">
        <x:f>IF(COUNT(F20:G20)=2,SUM(F20:G20),NA())</x:f>
        <x:v>6</x:v>
      </x:c>
      <x:c r="I20" s="2" t="n">
        <x:f>H20-E20</x:f>
        <x:v>1</x:v>
      </x:c>
    </x:row>
    <x:row r="21" ht="25" customHeight="1">
      <x:c r="A21" s="2" t="str">
        <x:v>T05.1</x:v>
      </x:c>
      <x:c r="B21" s="2" t="str">
        <x:v>T05</x:v>
      </x:c>
      <x:c r="C21" s="2" t="str">
        <x:v>DEV</x:v>
      </x:c>
      <x:c r="D21" s="2" t="str">
        <x:v>Préparer les cas de compatibilité</x:v>
      </x:c>
      <x:c r="E21" s="18" t="n">
        <x:v>5</x:v>
      </x:c>
      <x:c r="F21" s="18" t="n">
        <x:v>5</x:v>
      </x:c>
      <x:c r="G21" s="18" t="n">
        <x:v>0</x:v>
      </x:c>
      <x:c r="H21" s="2" t="n">
        <x:f>IF(COUNT(F21:G21)=2,SUM(F21:G21),NA())</x:f>
        <x:v>5</x:v>
      </x:c>
      <x:c r="I21" s="2" t="n">
        <x:f>H21-E21</x:f>
        <x:v>0</x:v>
      </x:c>
    </x:row>
    <x:row r="22" ht="25" customHeight="1">
      <x:c r="A22" s="2" t="str">
        <x:v>T05.2</x:v>
      </x:c>
      <x:c r="B22" s="2" t="str">
        <x:v>T05</x:v>
      </x:c>
      <x:c r="C22" s="2" t="str">
        <x:v>DEV</x:v>
      </x:c>
      <x:c r="D22" s="2" t="str">
        <x:v>Stabiliser filtres et demande partenaire</x:v>
      </x:c>
      <x:c r="E22" s="18" t="n">
        <x:v>7</x:v>
      </x:c>
      <x:c r="F22" s="18" t="n">
        <x:v>7</x:v>
      </x:c>
      <x:c r="G22" s="18" t="n">
        <x:v>0</x:v>
      </x:c>
      <x:c r="H22" s="2" t="n">
        <x:f>IF(COUNT(F22:G22)=2,SUM(F22:G22),NA())</x:f>
        <x:v>7</x:v>
      </x:c>
      <x:c r="I22" s="2" t="n">
        <x:f>H22-E22</x:f>
        <x:v>0</x:v>
      </x:c>
    </x:row>
    <x:row r="23" ht="25" customHeight="1">
      <x:c r="A23" s="2" t="str">
        <x:v>T05.3</x:v>
      </x:c>
      <x:c r="B23" s="2" t="str">
        <x:v>T05</x:v>
      </x:c>
      <x:c r="C23" s="2" t="str">
        <x:v>DEV</x:v>
      </x:c>
      <x:c r="D23" s="2" t="str">
        <x:v>Vérifier le parcours partenaire</x:v>
      </x:c>
      <x:c r="E23" s="18" t="n">
        <x:v>4</x:v>
      </x:c>
      <x:c r="F23" s="18" t="n">
        <x:v>4</x:v>
      </x:c>
      <x:c r="G23" s="18" t="n">
        <x:v>0</x:v>
      </x:c>
      <x:c r="H23" s="2" t="n">
        <x:f>IF(COUNT(F23:G23)=2,SUM(F23:G23),NA())</x:f>
        <x:v>4</x:v>
      </x:c>
      <x:c r="I23" s="2" t="n">
        <x:f>H23-E23</x:f>
        <x:v>0</x:v>
      </x:c>
    </x:row>
    <x:row r="24" ht="25" customHeight="1">
      <x:c r="A24" s="2" t="str">
        <x:v>T06.1</x:v>
      </x:c>
      <x:c r="B24" s="2" t="str">
        <x:v>T06</x:v>
      </x:c>
      <x:c r="C24" s="2" t="str">
        <x:v>DEV</x:v>
      </x:c>
      <x:c r="D24" s="2" t="str">
        <x:v>Préparer les règles événement</x:v>
      </x:c>
      <x:c r="E24" s="18" t="n">
        <x:v>6</x:v>
      </x:c>
      <x:c r="F24" s="18" t="n">
        <x:v>6</x:v>
      </x:c>
      <x:c r="G24" s="18" t="n">
        <x:v>0</x:v>
      </x:c>
      <x:c r="H24" s="2" t="n">
        <x:f>IF(COUNT(F24:G24)=2,SUM(F24:G24),NA())</x:f>
        <x:v>6</x:v>
      </x:c>
      <x:c r="I24" s="2" t="n">
        <x:f>H24-E24</x:f>
        <x:v>0</x:v>
      </x:c>
    </x:row>
    <x:row r="25" ht="25" customHeight="1">
      <x:c r="A25" s="2" t="str">
        <x:v>T06.2</x:v>
      </x:c>
      <x:c r="B25" s="2" t="str">
        <x:v>T06</x:v>
      </x:c>
      <x:c r="C25" s="2" t="str">
        <x:v>DEV</x:v>
      </x:c>
      <x:c r="D25" s="2" t="str">
        <x:v>Stabiliser capacité et inscriptions</x:v>
      </x:c>
      <x:c r="E25" s="18" t="n">
        <x:v>8</x:v>
      </x:c>
      <x:c r="F25" s="18" t="n">
        <x:v>4</x:v>
      </x:c>
      <x:c r="G25" s="18" t="n">
        <x:v>6</x:v>
      </x:c>
      <x:c r="H25" s="2" t="n">
        <x:f>IF(COUNT(F25:G25)=2,SUM(F25:G25),NA())</x:f>
        <x:v>10</x:v>
      </x:c>
      <x:c r="I25" s="2" t="n">
        <x:f>H25-E25</x:f>
        <x:v>2</x:v>
      </x:c>
    </x:row>
    <x:row r="26" ht="25" customHeight="1">
      <x:c r="A26" s="2" t="str">
        <x:v>T06.3</x:v>
      </x:c>
      <x:c r="B26" s="2" t="str">
        <x:v>T06</x:v>
      </x:c>
      <x:c r="C26" s="2" t="str">
        <x:v>DEV</x:v>
      </x:c>
      <x:c r="D26" s="2" t="str">
        <x:v>Contrôler les participants autorisés</x:v>
      </x:c>
      <x:c r="E26" s="18" t="n">
        <x:v>4</x:v>
      </x:c>
      <x:c r="F26" s="18" t="n">
        <x:v>0</x:v>
      </x:c>
      <x:c r="G26" s="18" t="n">
        <x:v>4</x:v>
      </x:c>
      <x:c r="H26" s="2" t="n">
        <x:f>IF(COUNT(F26:G26)=2,SUM(F26:G26),NA())</x:f>
        <x:v>4</x:v>
      </x:c>
      <x:c r="I26" s="2" t="n">
        <x:f>H26-E26</x:f>
        <x:v>0</x:v>
      </x:c>
    </x:row>
    <x:row r="27" ht="25" customHeight="1">
      <x:c r="A27" s="2" t="str">
        <x:v>T07.1</x:v>
      </x:c>
      <x:c r="B27" s="2" t="str">
        <x:v>T07</x:v>
      </x:c>
      <x:c r="C27" s="2" t="str">
        <x:v>QA</x:v>
      </x:c>
      <x:c r="D27" s="2" t="str">
        <x:v>Préparer jeux de données et recette</x:v>
      </x:c>
      <x:c r="E27" s="18" t="n">
        <x:v>4</x:v>
      </x:c>
      <x:c r="F27" s="18" t="n">
        <x:v>4</x:v>
      </x:c>
      <x:c r="G27" s="18" t="n">
        <x:v>0</x:v>
      </x:c>
      <x:c r="H27" s="2" t="n">
        <x:f>IF(COUNT(F27:G27)=2,SUM(F27:G27),NA())</x:f>
        <x:v>4</x:v>
      </x:c>
      <x:c r="I27" s="2" t="n">
        <x:f>H27-E27</x:f>
        <x:v>0</x:v>
      </x:c>
    </x:row>
    <x:row r="28" ht="25" customHeight="1">
      <x:c r="A28" s="2" t="str">
        <x:v>T07.2</x:v>
      </x:c>
      <x:c r="B28" s="2" t="str">
        <x:v>T07</x:v>
      </x:c>
      <x:c r="C28" s="2" t="str">
        <x:v>QA</x:v>
      </x:c>
      <x:c r="D28" s="2" t="str">
        <x:v>Rejouer les parcours et les limites</x:v>
      </x:c>
      <x:c r="E28" s="18" t="n">
        <x:v>6</x:v>
      </x:c>
      <x:c r="F28" s="18" t="n">
        <x:v>0</x:v>
      </x:c>
      <x:c r="G28" s="18" t="n">
        <x:v>7</x:v>
      </x:c>
      <x:c r="H28" s="2" t="n">
        <x:f>IF(COUNT(F28:G28)=2,SUM(F28:G28),NA())</x:f>
        <x:v>7</x:v>
      </x:c>
      <x:c r="I28" s="2" t="n">
        <x:f>H28-E28</x:f>
        <x:v>1</x:v>
      </x:c>
    </x:row>
    <x:row r="29" ht="25" customHeight="1">
      <x:c r="A29" s="2" t="str">
        <x:v>T07.3</x:v>
      </x:c>
      <x:c r="B29" s="2" t="str">
        <x:v>T07</x:v>
      </x:c>
      <x:c r="C29" s="2" t="str">
        <x:v>QA</x:v>
      </x:c>
      <x:c r="D29" s="2" t="str">
        <x:v>Contrôler clavier, erreurs et retours</x:v>
      </x:c>
      <x:c r="E29" s="18" t="n">
        <x:v>4</x:v>
      </x:c>
      <x:c r="F29" s="18" t="n">
        <x:v>0</x:v>
      </x:c>
      <x:c r="G29" s="18" t="n">
        <x:v>5</x:v>
      </x:c>
      <x:c r="H29" s="2" t="n">
        <x:f>IF(COUNT(F29:G29)=2,SUM(F29:G29),NA())</x:f>
        <x:v>5</x:v>
      </x:c>
      <x:c r="I29" s="2" t="n">
        <x:f>H29-E29</x:f>
        <x:v>1</x:v>
      </x:c>
    </x:row>
    <x:row r="30" ht="25" customHeight="1">
      <x:c r="A30" s="2" t="str">
        <x:v>T08.1</x:v>
      </x:c>
      <x:c r="B30" s="2" t="str">
        <x:v>T08</x:v>
      </x:c>
      <x:c r="C30" s="2" t="str">
        <x:v>CP</x:v>
      </x:c>
      <x:c r="D30" s="2" t="str">
        <x:v>Suivre charges et dépendances</x:v>
      </x:c>
      <x:c r="E30" s="18" t="n">
        <x:v>3</x:v>
      </x:c>
      <x:c r="F30" s="18" t="n">
        <x:v>3</x:v>
      </x:c>
      <x:c r="G30" s="18" t="n">
        <x:v>0</x:v>
      </x:c>
      <x:c r="H30" s="2" t="n">
        <x:f>IF(COUNT(F30:G30)=2,SUM(F30:G30),NA())</x:f>
        <x:v>3</x:v>
      </x:c>
      <x:c r="I30" s="2" t="n">
        <x:f>H30-E30</x:f>
        <x:v>0</x:v>
      </x:c>
    </x:row>
    <x:row r="31" ht="25" customHeight="1">
      <x:c r="A31" s="2" t="str">
        <x:v>T08.2</x:v>
      </x:c>
      <x:c r="B31" s="2" t="str">
        <x:v>T08</x:v>
      </x:c>
      <x:c r="C31" s="2" t="str">
        <x:v>CP</x:v>
      </x:c>
      <x:c r="D31" s="2" t="str">
        <x:v>Préparer la revue et arbitrer</x:v>
      </x:c>
      <x:c r="E31" s="18" t="n">
        <x:v>3</x:v>
      </x:c>
      <x:c r="F31" s="18" t="n">
        <x:v>3</x:v>
      </x:c>
      <x:c r="G31" s="18" t="n">
        <x:v>0</x:v>
      </x:c>
      <x:c r="H31" s="2" t="n">
        <x:f>IF(COUNT(F31:G31)=2,SUM(F31:G31),NA())</x:f>
        <x:v>3</x:v>
      </x:c>
      <x:c r="I31" s="2" t="n">
        <x:f>H31-E31</x:f>
        <x:v>0</x:v>
      </x:c>
    </x:row>
    <x:row r="32" ht="25" customHeight="1">
      <x:c r="A32" s="2" t="str">
        <x:v>T08.3</x:v>
      </x:c>
      <x:c r="B32" s="2" t="str">
        <x:v>T08</x:v>
      </x:c>
      <x:c r="C32" s="2" t="str">
        <x:v>CP</x:v>
      </x:c>
      <x:c r="D32" s="2" t="str">
        <x:v>Formaliser réserves et validation</x:v>
      </x:c>
      <x:c r="E32" s="18" t="n">
        <x:v>2</x:v>
      </x:c>
      <x:c r="F32" s="18" t="n">
        <x:v>0</x:v>
      </x:c>
      <x:c r="G32" s="18" t="n">
        <x:v>2</x:v>
      </x:c>
      <x:c r="H32" s="2" t="n">
        <x:f>IF(COUNT(F32:G32)=2,SUM(F32:G32),NA())</x:f>
        <x:v>2</x:v>
      </x:c>
      <x:c r="I32" s="2" t="n">
        <x:f>H32-E32</x:f>
        <x:v>0</x:v>
      </x:c>
    </x:row>
    <x:row r="33" ht="25" customHeight="1">
      <x:c r="A33" s="2" t="str">
        <x:v>T09.1</x:v>
      </x:c>
      <x:c r="B33" s="2" t="str">
        <x:v>T09</x:v>
      </x:c>
      <x:c r="C33" s="2" t="str">
        <x:v>CP</x:v>
      </x:c>
      <x:c r="D33" s="2" t="str">
        <x:v>Construire le support de restitution</x:v>
      </x:c>
      <x:c r="E33" s="18" t="n">
        <x:v>3</x:v>
      </x:c>
      <x:c r="F33" s="18" t="n">
        <x:v>0</x:v>
      </x:c>
      <x:c r="G33" s="18" t="n">
        <x:v>3</x:v>
      </x:c>
      <x:c r="H33" s="2" t="n">
        <x:f>IF(COUNT(F33:G33)=2,SUM(F33:G33),NA())</x:f>
        <x:v>3</x:v>
      </x:c>
      <x:c r="I33" s="2" t="n">
        <x:f>H33-E33</x:f>
        <x:v>0</x:v>
      </x:c>
    </x:row>
    <x:row r="34" ht="25" customHeight="1">
      <x:c r="A34" s="2" t="str">
        <x:v>T09.2</x:v>
      </x:c>
      <x:c r="B34" s="2" t="str">
        <x:v>T09</x:v>
      </x:c>
      <x:c r="C34" s="2" t="str">
        <x:v>CP</x:v>
      </x:c>
      <x:c r="D34" s="2" t="str">
        <x:v>Répéter le parcours et les secours</x:v>
      </x:c>
      <x:c r="E34" s="18" t="n">
        <x:v>3</x:v>
      </x:c>
      <x:c r="F34" s="18" t="n">
        <x:v>0</x:v>
      </x:c>
      <x:c r="G34" s="18" t="n">
        <x:v>3</x:v>
      </x:c>
      <x:c r="H34" s="2" t="n">
        <x:f>IF(COUNT(F34:G34)=2,SUM(F34:G34),NA())</x:f>
        <x:v>3</x:v>
      </x:c>
      <x:c r="I34" s="2" t="n">
        <x:f>H34-E34</x:f>
        <x:v>0</x:v>
      </x:c>
    </x:row>
    <x:row r="35" ht="25" customHeight="1">
      <x:c r="A35" s="2" t="str">
        <x:v>T09.3</x:v>
      </x:c>
      <x:c r="B35" s="2" t="str">
        <x:v>T09</x:v>
      </x:c>
      <x:c r="C35" s="2" t="str">
        <x:v>CP</x:v>
      </x:c>
      <x:c r="D35" s="2" t="str">
        <x:v>Préparer la transmission maintenance</x:v>
      </x:c>
      <x:c r="E35" s="18" t="n">
        <x:v>2</x:v>
      </x:c>
      <x:c r="F35" s="18" t="n">
        <x:v>0</x:v>
      </x:c>
      <x:c r="G35" s="18" t="n">
        <x:v>2</x:v>
      </x:c>
      <x:c r="H35" s="2" t="n">
        <x:f>IF(COUNT(F35:G35)=2,SUM(F35:G35),NA())</x:f>
        <x:v>2</x:v>
      </x:c>
      <x:c r="I35" s="2" t="n">
        <x:f>H35-E35</x:f>
        <x:v>0</x:v>
      </x:c>
    </x:row>
    <x:row r="36" ht="25" customHeight="1">
      <x:c r="A36" s="2" t="str">
        <x:v>T10.1</x:v>
      </x:c>
      <x:c r="B36" s="2" t="str">
        <x:v>T10</x:v>
      </x:c>
      <x:c r="C36" s="2" t="str">
        <x:v>DEV</x:v>
      </x:c>
      <x:c r="D36" s="2" t="str">
        <x:v>Corriger les défauts bloquants du cas</x:v>
      </x:c>
      <x:c r="E36" s="18" t="n">
        <x:v>4</x:v>
      </x:c>
      <x:c r="F36" s="18" t="n">
        <x:v>0</x:v>
      </x:c>
      <x:c r="G36" s="18" t="n">
        <x:v>3</x:v>
      </x:c>
      <x:c r="H36" s="2" t="n">
        <x:f>IF(COUNT(F36:G36)=2,SUM(F36:G36),NA())</x:f>
        <x:v>3</x:v>
      </x:c>
      <x:c r="I36" s="2" t="n">
        <x:f>H36-E36</x:f>
        <x:v>-1</x:v>
      </x:c>
    </x:row>
    <x:row r="37" ht="25" customHeight="1">
      <x:c r="A37" s="2" t="str">
        <x:v>T10.2</x:v>
      </x:c>
      <x:c r="B37" s="2" t="str">
        <x:v>T10</x:v>
      </x:c>
      <x:c r="C37" s="2" t="str">
        <x:v>DEV</x:v>
      </x:c>
      <x:c r="D37" s="2" t="str">
        <x:v>Rejouer les tests de non-régression</x:v>
      </x:c>
      <x:c r="E37" s="18" t="n">
        <x:v>4</x:v>
      </x:c>
      <x:c r="F37" s="18" t="n">
        <x:v>0</x:v>
      </x:c>
      <x:c r="G37" s="18" t="n">
        <x:v>3</x:v>
      </x:c>
      <x:c r="H37" s="2" t="n">
        <x:f>IF(COUNT(F37:G37)=2,SUM(F37:G37),NA())</x:f>
        <x:v>3</x:v>
      </x:c>
      <x:c r="I37" s="2" t="n">
        <x:f>H37-E37</x:f>
        <x:v>-1</x:v>
      </x:c>
    </x:row>
    <x:row r="38" ht="25" customHeight="1">
      <x:c r="A38" s="2" t="str">
        <x:v>T10.3</x:v>
      </x:c>
      <x:c r="B38" s="2" t="str">
        <x:v>T10</x:v>
      </x:c>
      <x:c r="C38" s="2" t="str">
        <x:v>DEV</x:v>
      </x:c>
      <x:c r="D38" s="2" t="str">
        <x:v>Documenter les réserves</x:v>
      </x:c>
      <x:c r="E38" s="18" t="n">
        <x:v>2</x:v>
      </x:c>
      <x:c r="F38" s="18" t="n">
        <x:v>0</x:v>
      </x:c>
      <x:c r="G38" s="18" t="n">
        <x:v>2</x:v>
      </x:c>
      <x:c r="H38" s="2" t="n">
        <x:f>IF(COUNT(F38:G38)=2,SUM(F38:G38),NA())</x:f>
        <x:v>2</x:v>
      </x:c>
      <x:c r="I38" s="2" t="n">
        <x:f>H38-E38</x:f>
        <x:v>0</x:v>
      </x:c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</x:row>
    <x:row r="40" ht="25" customHeight="1">
      <x:c r="A40" s="2"/>
      <x:c r="B40" s="2" t="str">
        <x:v>Source : hypothèses du cas, donnees/pilotage.json et A09. Une ligne décrit un livrable.</x:v>
      </x:c>
      <x:c r="C40" s="2"/>
      <x:c r="D40" s="2"/>
      <x:c r="E40" s="2"/>
      <x:c r="F40" s="2"/>
      <x:c r="G40" s="2"/>
      <x:c r="H40" s="2"/>
      <x:c r="I40" s="2"/>
    </x:row>
    <x:row r="41" ht="25" customHeight="1">
      <x:c r="A41" s="2"/>
      <x:c r="B41" s="2" t="str">
        <x:v>La formation est incluse dans T03, T06 et T07. Les heures ne proviennent pas de Linear.</x:v>
      </x:c>
      <x:c r="C41" s="2"/>
      <x:c r="D41" s="2"/>
      <x:c r="E41" s="2"/>
      <x:c r="F41" s="2"/>
      <x:c r="G41" s="2"/>
      <x:c r="H41" s="2"/>
      <x:c r="I41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2" hidden="0" customWidth="1"/>
    <x:col min="2" max="2" width="65" hidden="0" customWidth="1"/>
    <x:col min="3" max="3" width="16" hidden="0" customWidth="1"/>
    <x:col min="4" max="4" width="16" hidden="0" customWidth="1"/>
    <x:col min="5" max="5" width="19" hidden="0" customWidth="1"/>
    <x:col min="6" max="6" width="95" hidden="0" customWidth="1"/>
  </x:cols>
  <x:sheetData>
    <x:row r="2" ht="25" customHeight="1">
      <x:c r="A2" s="2"/>
      <x:c r="B2" s="3" t="str">
        <x:v>Spity - Relevé Linear du 14 septembre 2026</x:v>
      </x:c>
      <x:c r="C2" s="2"/>
      <x:c r="D2" s="2"/>
      <x:c r="E2" s="2"/>
      <x:c r="F2" s="2"/>
    </x:row>
    <x:row r="3" ht="25" customHeight="1">
      <x:c r="A3" s="2"/>
      <x:c r="B3" s="2"/>
      <x:c r="C3" s="2"/>
      <x:c r="D3" s="2"/>
      <x:c r="E3" s="2"/>
      <x:c r="F3" s="2"/>
    </x:row>
    <x:row r="4" ht="25" customHeight="1">
      <x:c r="A4" s="2"/>
      <x:c r="B4" s="2" t="str">
        <x:v>OBSERVATION : statuts lus dans le tableau authentifié. Estimations absentes de cette source.</x:v>
      </x:c>
      <x:c r="C4" s="2"/>
      <x:c r="D4" s="2"/>
      <x:c r="E4" s="2"/>
      <x:c r="F4" s="2"/>
    </x:row>
    <x:row r="5" ht="25" customHeight="1">
      <x:c r="A5" s="2"/>
      <x:c r="B5" s="2" t="str">
        <x:v>12 Done / 24 non annulés = 50 % des tickets, sans pondération par effort.</x:v>
      </x:c>
      <x:c r="C5" s="2"/>
      <x:c r="D5" s="2"/>
      <x:c r="E5" s="2"/>
      <x:c r="F5" s="2"/>
    </x:row>
    <x:row r="6" ht="25" customHeight="1">
      <x:c r="A6" s="2"/>
      <x:c r="B6" s="2"/>
      <x:c r="C6" s="2"/>
      <x:c r="D6" s="2"/>
      <x:c r="E6" s="2"/>
      <x:c r="F6" s="2"/>
    </x:row>
    <x:row r="7" ht="25" customHeight="1">
      <x:c r="A7" s="2"/>
      <x:c r="B7" s="2"/>
      <x:c r="C7" s="2"/>
      <x:c r="D7" s="2"/>
      <x:c r="E7" s="2"/>
      <x:c r="F7" s="2"/>
    </x:row>
    <x:row r="8" ht="36" customHeight="1">
      <x:c r="A8" s="7" t="str">
        <x:v>ID</x:v>
      </x:c>
      <x:c r="B8" s="7" t="str">
        <x:v>Intitulé observé</x:v>
      </x:c>
      <x:c r="C8" s="7" t="str">
        <x:v>Statut</x:v>
      </x:c>
      <x:c r="D8" s="7" t="str">
        <x:v>Priorité</x:v>
      </x:c>
      <x:c r="E8" s="7" t="str">
        <x:v>Affectation</x:v>
      </x:c>
      <x:c r="F8" s="7" t="str">
        <x:v>Source URL</x:v>
      </x:c>
    </x:row>
    <x:row r="9" ht="39" customHeight="1">
      <x:c r="A9" s="2" t="str">
        <x:v>SPI-5</x:v>
      </x:c>
      <x:c r="B9" s="25" t="str">
        <x:v>SPITY-001: Prisma schema User + Club</x:v>
      </x:c>
      <x:c r="C9" s="2" t="str">
        <x:v>Canceled</x:v>
      </x:c>
      <x:c r="D9" s="2" t="str">
        <x:v>Urgent</x:v>
      </x:c>
      <x:c r="E9" s="2" t="str">
        <x:v>Non affecté</x:v>
      </x:c>
      <x:c r="F9" s="2" t="str">
        <x:v>https://linear.app/spitywa/issue/SPI-5/spity-001-prisma-schema-user-club</x:v>
      </x:c>
    </x:row>
    <x:row r="10" ht="39" customHeight="1">
      <x:c r="A10" s="2" t="str">
        <x:v>SPI-6</x:v>
      </x:c>
      <x:c r="B10" s="25" t="str">
        <x:v>SPITY-002: JWT auth grimpeur/club</x:v>
      </x:c>
      <x:c r="C10" s="2" t="str">
        <x:v>Todo</x:v>
      </x:c>
      <x:c r="D10" s="2" t="str">
        <x:v>High</x:v>
      </x:c>
      <x:c r="E10" s="2" t="str">
        <x:v>dorian joly</x:v>
      </x:c>
      <x:c r="F10" s="2" t="str">
        <x:v>https://linear.app/spitywa/issue/SPI-6/spity-002-jwt-auth-grimpeurclub</x:v>
      </x:c>
    </x:row>
    <x:row r="11" ht="39" customHeight="1">
      <x:c r="A11" s="2" t="str">
        <x:v>SPI-7</x:v>
      </x:c>
      <x:c r="B11" s="25" t="str">
        <x:v>SPITY-003: Login/register pages</x:v>
      </x:c>
      <x:c r="C11" s="2" t="str">
        <x:v>Done</x:v>
      </x:c>
      <x:c r="D11" s="2" t="str">
        <x:v>High</x:v>
      </x:c>
      <x:c r="E11" s="2" t="str">
        <x:v>dorian joly</x:v>
      </x:c>
      <x:c r="F11" s="2" t="str">
        <x:v>https://linear.app/spitywa/issue/SPI-7/spity-003-loginregister-pages</x:v>
      </x:c>
    </x:row>
    <x:row r="12" ht="39" customHeight="1">
      <x:c r="A12" s="2" t="str">
        <x:v>SPI-8</x:v>
      </x:c>
      <x:c r="B12" s="25" t="str">
        <x:v>SPITY-004: Docker compose Next+MariaDB+phpMyAdmin</x:v>
      </x:c>
      <x:c r="C12" s="2" t="str">
        <x:v>Done</x:v>
      </x:c>
      <x:c r="D12" s="2" t="str">
        <x:v>Urgent</x:v>
      </x:c>
      <x:c r="E12" s="2" t="str">
        <x:v>dorian joly</x:v>
      </x:c>
      <x:c r="F12" s="2" t="str">
        <x:v>https://linear.app/spitywa/issue/SPI-8/spity-004-docker-compose-nextmariadbphpmyadmin</x:v>
      </x:c>
    </x:row>
    <x:row r="13" ht="39" customHeight="1">
      <x:c r="A13" s="2" t="str">
        <x:v>SPI-9</x:v>
      </x:c>
      <x:c r="B13" s="25" t="str">
        <x:v>SPITY-005: Drizzle schema initial</x:v>
      </x:c>
      <x:c r="C13" s="2" t="str">
        <x:v>Done</x:v>
      </x:c>
      <x:c r="D13" s="2" t="str">
        <x:v>Urgent</x:v>
      </x:c>
      <x:c r="E13" s="2" t="str">
        <x:v>dorian joly</x:v>
      </x:c>
      <x:c r="F13" s="2" t="str">
        <x:v>https://linear.app/spitywa/issue/SPI-9/spity-005-drizzle-schema-initial</x:v>
      </x:c>
    </x:row>
    <x:row r="14" ht="39" customHeight="1">
      <x:c r="A14" s="2" t="str">
        <x:v>SPI-10</x:v>
      </x:c>
      <x:c r="B14" s="25" t="str">
        <x:v>SPITY-006: GitHub Actions CI/CD</x:v>
      </x:c>
      <x:c r="C14" s="2" t="str">
        <x:v>Done</x:v>
      </x:c>
      <x:c r="D14" s="2" t="str">
        <x:v>Medium</x:v>
      </x:c>
      <x:c r="E14" s="2" t="str">
        <x:v>dorian joly</x:v>
      </x:c>
      <x:c r="F14" s="2" t="str">
        <x:v>https://linear.app/spitywa/issue/SPI-10/spity-006-github-actions-cicd</x:v>
      </x:c>
    </x:row>
    <x:row r="15" ht="39" customHeight="1">
      <x:c r="A15" s="2" t="str">
        <x:v>SPI-11</x:v>
      </x:c>
      <x:c r="B15" s="25" t="str">
        <x:v>SPITY-007: CRUD profil grimpeur (disciplines, niveaux, matos)</x:v>
      </x:c>
      <x:c r="C15" s="2" t="str">
        <x:v>Todo</x:v>
      </x:c>
      <x:c r="D15" s="2" t="str">
        <x:v>High</x:v>
      </x:c>
      <x:c r="E15" s="2" t="str">
        <x:v>dorian joly</x:v>
      </x:c>
      <x:c r="F15" s="2" t="str">
        <x:v>https://linear.app/spitywa/issue/SPI-11/spity-007-crud-profil-grimpeur-disciplines-niveaux-matos</x:v>
      </x:c>
    </x:row>
    <x:row r="16" ht="39" customHeight="1">
      <x:c r="A16" s="2" t="str">
        <x:v>SPI-12</x:v>
      </x:c>
      <x:c r="B16" s="25" t="str">
        <x:v>SPITY-008: CRUD profil club (coachs, validation)</x:v>
      </x:c>
      <x:c r="C16" s="2" t="str">
        <x:v>Backlog</x:v>
      </x:c>
      <x:c r="D16" s="2" t="str">
        <x:v>Medium</x:v>
      </x:c>
      <x:c r="E16" s="2" t="str">
        <x:v>dorian joly</x:v>
      </x:c>
      <x:c r="F16" s="2" t="str">
        <x:v>https://linear.app/spitywa/issue/SPI-12/spity-008-crud-profil-club-coachs-validation</x:v>
      </x:c>
    </x:row>
    <x:row r="17" ht="39" customHeight="1">
      <x:c r="A17" s="2" t="str">
        <x:v>SPI-13</x:v>
      </x:c>
      <x:c r="B17" s="25" t="str">
        <x:v>SPITY-009: Page profil grimpeur + édition</x:v>
      </x:c>
      <x:c r="C17" s="2" t="str">
        <x:v>Done</x:v>
      </x:c>
      <x:c r="D17" s="2" t="str">
        <x:v>High</x:v>
      </x:c>
      <x:c r="E17" s="2" t="str">
        <x:v>dorian joly</x:v>
      </x:c>
      <x:c r="F17" s="2" t="str">
        <x:v>https://linear.app/spitywa/issue/SPI-13/spity-009-page-profil-grimpeur-edition</x:v>
      </x:c>
    </x:row>
    <x:row r="18" ht="39" customHeight="1">
      <x:c r="A18" s="2" t="str">
        <x:v>SPI-14</x:v>
      </x:c>
      <x:c r="B18" s="25" t="str">
        <x:v>SPITY-010: Page profil club</x:v>
      </x:c>
      <x:c r="C18" s="2" t="str">
        <x:v>Done</x:v>
      </x:c>
      <x:c r="D18" s="2" t="str">
        <x:v>Medium</x:v>
      </x:c>
      <x:c r="E18" s="2" t="str">
        <x:v>dorian joly</x:v>
      </x:c>
      <x:c r="F18" s="2" t="str">
        <x:v>https://linear.app/spitywa/issue/SPI-14/spity-010-page-profil-club</x:v>
      </x:c>
    </x:row>
    <x:row r="19" ht="39" customHeight="1">
      <x:c r="A19" s="2" t="str">
        <x:v>SPI-15</x:v>
      </x:c>
      <x:c r="B19" s="25" t="str">
        <x:v>SPITY-011: CRUD Post (texte, media, tags, cotation)</x:v>
      </x:c>
      <x:c r="C19" s="2" t="str">
        <x:v>Todo</x:v>
      </x:c>
      <x:c r="D19" s="2" t="str">
        <x:v>High</x:v>
      </x:c>
      <x:c r="E19" s="2" t="str">
        <x:v>dorian joly</x:v>
      </x:c>
      <x:c r="F19" s="2" t="str">
        <x:v>https://linear.app/spitywa/issue/SPI-15/spity-011-crud-post-texte-media-tags-cotation</x:v>
      </x:c>
    </x:row>
    <x:row r="20" ht="39" customHeight="1">
      <x:c r="A20" s="2" t="str">
        <x:v>SPI-16</x:v>
      </x:c>
      <x:c r="B20" s="25" t="str">
        <x:v>SPITY-012: Likes + commentaires</x:v>
      </x:c>
      <x:c r="C20" s="2" t="str">
        <x:v>Backlog</x:v>
      </x:c>
      <x:c r="D20" s="2" t="str">
        <x:v>Medium</x:v>
      </x:c>
      <x:c r="E20" s="2" t="str">
        <x:v>dorian joly</x:v>
      </x:c>
      <x:c r="F20" s="2" t="str">
        <x:v>https://linear.app/spitywa/issue/SPI-16/spity-012-likes-commentaires</x:v>
      </x:c>
    </x:row>
    <x:row r="21" ht="39" customHeight="1">
      <x:c r="A21" s="2" t="str">
        <x:v>SPI-17</x:v>
      </x:c>
      <x:c r="B21" s="25" t="str">
        <x:v>SPITY-013: Feed principal (posts + events épinglés)</x:v>
      </x:c>
      <x:c r="C21" s="2" t="str">
        <x:v>Backlog</x:v>
      </x:c>
      <x:c r="D21" s="2" t="str">
        <x:v>High</x:v>
      </x:c>
      <x:c r="E21" s="2" t="str">
        <x:v>dorian joly</x:v>
      </x:c>
      <x:c r="F21" s="2" t="str">
        <x:v>https://linear.app/spitywa/issue/SPI-17/spity-013-feed-principal-posts-events-epingles</x:v>
      </x:c>
    </x:row>
    <x:row r="22" ht="39" customHeight="1">
      <x:c r="A22" s="2" t="str">
        <x:v>SPI-18</x:v>
      </x:c>
      <x:c r="B22" s="25" t="str">
        <x:v>SPITY-014: Create post + upload images</x:v>
      </x:c>
      <x:c r="C22" s="2" t="str">
        <x:v>Todo</x:v>
      </x:c>
      <x:c r="D22" s="2" t="str">
        <x:v>High</x:v>
      </x:c>
      <x:c r="E22" s="2" t="str">
        <x:v>dorian joly</x:v>
      </x:c>
      <x:c r="F22" s="2" t="str">
        <x:v>https://linear.app/spitywa/issue/SPI-18/spity-014-create-post-upload-images</x:v>
      </x:c>
    </x:row>
    <x:row r="23" ht="39" customHeight="1">
      <x:c r="A23" s="2" t="str">
        <x:v>SPI-19</x:v>
      </x:c>
      <x:c r="B23" s="25" t="str">
        <x:v>SPITY-015: Modèles Salle/Falaise (géoloc)</x:v>
      </x:c>
      <x:c r="C23" s="2" t="str">
        <x:v>Backlog</x:v>
      </x:c>
      <x:c r="D23" s="2" t="str">
        <x:v>High</x:v>
      </x:c>
      <x:c r="E23" s="2" t="str">
        <x:v>dorian joly</x:v>
      </x:c>
      <x:c r="F23" s="2" t="str">
        <x:v>https://linear.app/spitywa/issue/SPI-19/spity-015-modeles-sallefalaise-geoloc</x:v>
      </x:c>
    </x:row>
    <x:row r="24" ht="39" customHeight="1">
      <x:c r="A24" s="2" t="str">
        <x:v>SPI-20</x:v>
      </x:c>
      <x:c r="B24" s="25" t="str">
        <x:v>SPITY-016: Modèle Voie + topos (cotation, état)</x:v>
      </x:c>
      <x:c r="C24" s="2" t="str">
        <x:v>Done</x:v>
      </x:c>
      <x:c r="D24" s="2" t="str">
        <x:v>Medium</x:v>
      </x:c>
      <x:c r="E24" s="2" t="str">
        <x:v>dorian joly</x:v>
      </x:c>
      <x:c r="F24" s="2" t="str">
        <x:v>https://linear.app/spitywa/issue/SPI-20/spity-016-modele-voie-topos-cotation-etat</x:v>
      </x:c>
    </x:row>
    <x:row r="25" ht="39" customHeight="1">
      <x:c r="A25" s="2" t="str">
        <x:v>SPI-21</x:v>
      </x:c>
      <x:c r="B25" s="25" t="str">
        <x:v>SPITY-017: Carte interactive salles/falaises/clubs</x:v>
      </x:c>
      <x:c r="C25" s="2" t="str">
        <x:v>Backlog</x:v>
      </x:c>
      <x:c r="D25" s="2" t="str">
        <x:v>Medium</x:v>
      </x:c>
      <x:c r="E25" s="2" t="str">
        <x:v>dorian joly</x:v>
      </x:c>
      <x:c r="F25" s="2" t="str">
        <x:v>https://linear.app/spitywa/issue/SPI-21/spity-017-carte-interactive-sallesfalaisesclubs</x:v>
      </x:c>
    </x:row>
    <x:row r="26" ht="39" customHeight="1">
      <x:c r="A26" s="2" t="str">
        <x:v>SPI-22</x:v>
      </x:c>
      <x:c r="B26" s="25" t="str">
        <x:v>SPITY-018: Fiche falaise + topos collaboratifs</x:v>
      </x:c>
      <x:c r="C26" s="2" t="str">
        <x:v>Backlog</x:v>
      </x:c>
      <x:c r="D26" s="2" t="str">
        <x:v>Medium</x:v>
      </x:c>
      <x:c r="E26" s="2" t="str">
        <x:v>dorian joly</x:v>
      </x:c>
      <x:c r="F26" s="2" t="str">
        <x:v>https://linear.app/spitywa/issue/SPI-22/spity-018-fiche-falaise-topos-collaboratifs</x:v>
      </x:c>
    </x:row>
    <x:row r="27" ht="39" customHeight="1">
      <x:c r="A27" s="2" t="str">
        <x:v>SPI-23</x:v>
      </x:c>
      <x:c r="B27" s="25" t="str">
        <x:v>SPITY-019: CRUD Event club (inscriptions, capacité)</x:v>
      </x:c>
      <x:c r="C27" s="2" t="str">
        <x:v>Done</x:v>
      </x:c>
      <x:c r="D27" s="2" t="str">
        <x:v>Medium</x:v>
      </x:c>
      <x:c r="E27" s="2" t="str">
        <x:v>dorian joly</x:v>
      </x:c>
      <x:c r="F27" s="2" t="str">
        <x:v>https://linear.app/spitywa/issue/SPI-23/spity-019-crud-event-club-inscriptions-capacite</x:v>
      </x:c>
    </x:row>
    <x:row r="28" ht="39" customHeight="1">
      <x:c r="A28" s="2" t="str">
        <x:v>SPI-24</x:v>
      </x:c>
      <x:c r="B28" s="25" t="str">
        <x:v>SPITY-020: Club dashboard (stats, events)</x:v>
      </x:c>
      <x:c r="C28" s="2" t="str">
        <x:v>Backlog</x:v>
      </x:c>
      <x:c r="D28" s="2" t="str">
        <x:v>Medium</x:v>
      </x:c>
      <x:c r="E28" s="2" t="str">
        <x:v>dorian joly</x:v>
      </x:c>
      <x:c r="F28" s="2" t="str">
        <x:v>https://linear.app/spitywa/issue/SPI-24/spity-020-club-dashboard-stats-events</x:v>
      </x:c>
    </x:row>
    <x:row r="29" ht="39" customHeight="1">
      <x:c r="A29" s="2" t="str">
        <x:v>SPI-25</x:v>
      </x:c>
      <x:c r="B29" s="25" t="str">
        <x:v>SPITY-021: Calendrier events + inscription</x:v>
      </x:c>
      <x:c r="C29" s="2" t="str">
        <x:v>Done</x:v>
      </x:c>
      <x:c r="D29" s="2" t="str">
        <x:v>Medium</x:v>
      </x:c>
      <x:c r="E29" s="2" t="str">
        <x:v>dorian joly</x:v>
      </x:c>
      <x:c r="F29" s="2" t="str">
        <x:v>https://linear.app/spitywa/issue/SPI-25/spity-021-calendrier-events-inscription</x:v>
      </x:c>
    </x:row>
    <x:row r="30" ht="39" customHeight="1">
      <x:c r="A30" s="2" t="str">
        <x:v>SPI-26</x:v>
      </x:c>
      <x:c r="B30" s="25" t="str">
        <x:v>SPITY-022: Club dashboard</x:v>
      </x:c>
      <x:c r="C30" s="2" t="str">
        <x:v>Done</x:v>
      </x:c>
      <x:c r="D30" s="2" t="str">
        <x:v>Medium</x:v>
      </x:c>
      <x:c r="E30" s="2" t="str">
        <x:v>dorian joly</x:v>
      </x:c>
      <x:c r="F30" s="2" t="str">
        <x:v>https://linear.app/spitywa/issue/SPI-26/spity-022-club-dashboard</x:v>
      </x:c>
    </x:row>
    <x:row r="31" ht="39" customHeight="1">
      <x:c r="A31" s="2" t="str">
        <x:v>SPI-27</x:v>
      </x:c>
      <x:c r="B31" s="25" t="str">
        <x:v>SPITY-023: Upload media sécurisé</x:v>
      </x:c>
      <x:c r="C31" s="2" t="str">
        <x:v>In Progress</x:v>
      </x:c>
      <x:c r="D31" s="2" t="str">
        <x:v>High</x:v>
      </x:c>
      <x:c r="E31" s="2" t="str">
        <x:v>dorian joly</x:v>
      </x:c>
      <x:c r="F31" s="2" t="str">
        <x:v>https://linear.app/spitywa/issue/SPI-27/spity-023-upload-media-securise</x:v>
      </x:c>
    </x:row>
    <x:row r="32" ht="39" customHeight="1">
      <x:c r="A32" s="2" t="str">
        <x:v>SPI-28</x:v>
      </x:c>
      <x:c r="B32" s="25" t="str">
        <x:v>SPITY-024: Tests unitaires critiques (auth, posts)</x:v>
      </x:c>
      <x:c r="C32" s="2" t="str">
        <x:v>Done</x:v>
      </x:c>
      <x:c r="D32" s="2" t="str">
        <x:v>Low</x:v>
      </x:c>
      <x:c r="E32" s="2" t="str">
        <x:v>dorian joly</x:v>
      </x:c>
      <x:c r="F32" s="2" t="str">
        <x:v>https://linear.app/spitywa/issue/SPI-28/spity-024-tests-unitaires-critiques-auth-posts</x:v>
      </x:c>
    </x:row>
    <x:row r="33" ht="39" customHeight="1">
      <x:c r="A33" s="2" t="str">
        <x:v>SPI-29</x:v>
      </x:c>
      <x:c r="B33" s="25" t="str">
        <x:v>SPITY-025: Sécurité OWASP + accessibilité RGAA</x:v>
      </x:c>
      <x:c r="C33" s="2" t="str">
        <x:v>Done</x:v>
      </x:c>
      <x:c r="D33" s="2" t="str">
        <x:v>Low</x:v>
      </x:c>
      <x:c r="E33" s="2" t="str">
        <x:v>dorian joly</x:v>
      </x:c>
      <x:c r="F33" s="2" t="str">
        <x:v>https://linear.app/spitywa/issue/SPI-29/spity-025-securite-owasp-accessibilite-rgaa</x:v>
      </x:c>
    </x:row>
    <x:row r="34" ht="25" customHeight="1">
      <x:c r="A34" s="2"/>
      <x:c r="B34" s="2"/>
      <x:c r="C34" s="2"/>
      <x:c r="D34" s="2"/>
      <x:c r="E34" s="2"/>
      <x:c r="F34" s="2"/>
    </x:row>
    <x:row r="35" ht="25" customHeight="1">
      <x:c r="A35" s="2"/>
      <x:c r="B35" s="2" t="str">
        <x:v>Source : https://linear.app/spitywa/team/SPI/all ; transcription datée, détails et limites dans A09.</x:v>
      </x:c>
      <x:c r="C35" s="2"/>
      <x:c r="D35" s="2"/>
      <x:c r="E35" s="2"/>
      <x:c r="F35" s="2"/>
    </x:row>
    <x:row r="36" ht="25" customHeight="1">
      <x:c r="A36" s="2"/>
      <x:c r="B36" s="2" t="str">
        <x:v>Les données simulées CP / DEV / QA restent distinctes de l’affectation nominale dans Linear.</x:v>
      </x:c>
      <x:c r="C36" s="2"/>
      <x:c r="D36" s="2"/>
      <x:c r="E36" s="2"/>
      <x:c r="F36" s="2"/>
    </x:row>
  </x:sheetData>
  <x:pageMargins left="0.7" right="0.7" top="0.75" bottom="0.75" header="0.3" footer="0.3"/>
</x:worksheet>
</file>